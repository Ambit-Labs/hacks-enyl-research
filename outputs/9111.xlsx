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<sst xmlns="http://schemas.openxmlformats.org/spreadsheetml/2006/main" count="31" uniqueCount="27">
  <si>
    <t xml:space="preserve">NAME</t>
  </si>
  <si>
    <t xml:space="preserve">ID</t>
  </si>
  <si>
    <t xml:space="preserve">JOB</t>
  </si>
  <si>
    <t xml:space="preserve">IDSj</t>
  </si>
  <si>
    <t xml:space="preserve">bob</t>
  </si>
  <si>
    <t xml:space="preserve">ff</t>
  </si>
  <si>
    <t xml:space="preserve">Jack</t>
  </si>
  <si>
    <t xml:space="preserve">aa</t>
  </si>
  <si>
    <t xml:space="preserve">John</t>
  </si>
  <si>
    <t xml:space="preserve">bb</t>
  </si>
  <si>
    <t xml:space="preserve">Rony</t>
  </si>
  <si>
    <t xml:space="preserve">EVA</t>
  </si>
  <si>
    <t xml:space="preserve">cc</t>
  </si>
  <si>
    <t xml:space="preserve">Jane</t>
  </si>
  <si>
    <t xml:space="preserve">dd</t>
  </si>
  <si>
    <t xml:space="preserve">aab</t>
  </si>
  <si>
    <t xml:space="preserve">Suzi</t>
  </si>
  <si>
    <t xml:space="preserve">Rissa</t>
  </si>
  <si>
    <t xml:space="preserve">Rose</t>
  </si>
  <si>
    <t xml:space="preserve">Sarah</t>
  </si>
  <si>
    <t xml:space="preserve">List2</t>
  </si>
  <si>
    <t xml:space="preserve">Dani</t>
  </si>
  <si>
    <t xml:space="preserve">Anne</t>
  </si>
  <si>
    <t xml:space="preserve">Bob</t>
  </si>
  <si>
    <t xml:space="preserve">Carla</t>
  </si>
  <si>
    <t xml:space="preserve">Ddiana</t>
  </si>
  <si>
    <t xml:space="preserve">list1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</si>
</sst>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4"/>
      <color theme="1"/>
      <name val="Times New Roman"/>
      <family val="0"/>
      <charset val="17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34"/>
    </font>
    <font>
      <sz val="14"/>
      <color theme="8" tint="-0.5"/>
      <name val="Times New Roman"/>
      <family val="0"/>
      <charset val="178"/>
    </font>
    <font>
      <b val="true"/>
      <sz val="12"/>
      <color rgb="FFFFC000"/>
      <name val="Arial"/>
      <family val="0"/>
      <charset val="134"/>
    </font>
    <font>
      <sz val="14"/>
      <color rgb="FFFFC000"/>
      <name val="Times New Roman"/>
      <family val="0"/>
      <charset val="178"/>
    </font>
    <font>
      <sz val="14"/>
      <color rgb="FFFF0000"/>
      <name val="Times New Roman"/>
      <family val="0"/>
      <charset val="178"/>
    </font>
    <font>
      <b val="true"/>
      <sz val="12"/>
      <color rgb="FFFF0000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-0.25"/>
        <bgColor rgb="FF808080"/>
      </patternFill>
    </fill>
    <fill>
      <patternFill patternType="solid">
        <fgColor rgb="FF00B050"/>
        <bgColor rgb="FF00808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true" readingOrder="1"/>
      <protection locked="fals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3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" fillId="2" borderId="2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theme="9" tint="0.3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203864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C29" activeCellId="0" sqref="C29"/>
    </sheetView>
  </sheetViews>
  <sheetFormatPr defaultColWidth="8.70703125" defaultRowHeight="20.25" customHeight="false" zeroHeight="false" outlineLevelRow="0" outlineLevelCol="0"/>
  <cols>
    <col collapsed="false" customWidth="true" hidden="false" outlineLevel="0" max="1" min="1" style="1" width="15.29"/>
    <col collapsed="false" customWidth="true" hidden="false" outlineLevel="0" max="3" min="2" style="2" width="15.29"/>
    <col collapsed="false" customWidth="true" hidden="false" outlineLevel="0" max="4" min="4" style="1" width="15.29"/>
    <col collapsed="false" customWidth="true" hidden="false" outlineLevel="0" max="11" min="5" style="1" width="8.85"/>
    <col collapsed="false" customWidth="true" hidden="false" outlineLevel="0" max="19" min="19" style="3" width="14.71"/>
    <col collapsed="false" customWidth="true" hidden="false" outlineLevel="0" max="20" min="20" style="3" width="12"/>
  </cols>
  <sheetData>
    <row r="1" customFormat="false" ht="20.25" hidden="false" customHeight="false" outlineLevel="0" collapsed="false">
      <c r="D1" s="4" t="str">
        <f aca="false" t="array" ref="D1:D1">IF((C1="")*(B1=""),"",_xlfn.IFNA(IF(C1=$J$2:$J$6,VLOOKUP($C1,$J$2:$K$6,2,FALSE()),IF(_xlfn.IFNA(VLOOKUP(B1,$G$2:$H$13,2,FALSE()),),VLOOKUP(B1,$G$2:$H$13,2,0),IF(C1=$J$2:$K$6,INDEX($J$2:$K$6,MATCH(C1,$J$2:$J$6,0),2),VLOOKUP($C1,$J$2:$K$6,2,FALSE())))),"2500"))</f>
        <v/>
      </c>
      <c r="G1" s="5" t="s">
        <v>0</v>
      </c>
      <c r="H1" s="5" t="s">
        <v>1</v>
      </c>
      <c r="J1" s="5" t="s">
        <v>2</v>
      </c>
      <c r="K1" s="5" t="s">
        <v>3</v>
      </c>
    </row>
    <row r="2" customFormat="false" ht="20.25" hidden="false" customHeight="false" outlineLevel="0" collapsed="false">
      <c r="A2" s="6" t="n">
        <v>1</v>
      </c>
      <c r="B2" s="7" t="s">
        <v>4</v>
      </c>
      <c r="C2" s="8" t="s">
        <v>5</v>
      </c>
      <c r="D2" s="9" t="n">
        <f aca="false" t="array" ref="D2:D2">IF(AND(B2="",C2=""),"",IF(ISNUMBER(MATCH(B2,$N$2:$N$13,0)),INDEX($O$2:$O$13,MATCH(B2,$N$2:$N$13,0)),IF(ISNUMBER(MATCH(C2,$J$2:$J$6,0)),INDEX($K$2:$K$6,MATCH(C2,$J$2:$J$6,0)),2500)))</f>
        <v>3016</v>
      </c>
      <c r="G2" s="10" t="s">
        <v>6</v>
      </c>
      <c r="H2" s="11" t="n">
        <v>1320</v>
      </c>
      <c r="J2" s="12" t="s">
        <v>7</v>
      </c>
      <c r="K2" s="13" t="n">
        <v>11</v>
      </c>
    </row>
    <row r="3" customFormat="false" ht="20.25" hidden="false" customHeight="false" outlineLevel="0" collapsed="false">
      <c r="A3" s="6" t="n">
        <v>2</v>
      </c>
      <c r="B3" s="14" t="s">
        <v>8</v>
      </c>
      <c r="C3" s="8" t="s">
        <v>9</v>
      </c>
      <c r="D3" s="15" t="n">
        <f aca="false" t="array" ref="D3:D3">IF(AND(B3="",C3=""),"",IF(ISNUMBER(MATCH(B3,$N$2:$N$13,0)),INDEX($O$2:$O$13,MATCH(B3,$N$2:$N$13,0)),IF(ISNUMBER(MATCH(C3,$J$2:$J$6,0)),INDEX($K$2:$K$6,MATCH(C3,$J$2:$J$6,0)),2500)))</f>
        <v>3628</v>
      </c>
      <c r="G3" s="10" t="s">
        <v>10</v>
      </c>
      <c r="H3" s="11" t="n">
        <v>2563</v>
      </c>
      <c r="J3" s="12" t="s">
        <v>9</v>
      </c>
      <c r="K3" s="13" t="n">
        <v>3628</v>
      </c>
    </row>
    <row r="4" customFormat="false" ht="20.25" hidden="false" customHeight="false" outlineLevel="0" collapsed="false">
      <c r="A4" s="6" t="n">
        <v>3</v>
      </c>
      <c r="B4" s="14"/>
      <c r="C4" s="14"/>
      <c r="D4" s="15" t="str">
        <f aca="false" t="array" ref="D4:D4">IF(AND(B4="",C4=""),"",IF(ISNUMBER(MATCH(B4,$N$2:$N$13,0)),INDEX($O$2:$O$13,MATCH(B4,$N$2:$N$13,0)),IF(ISNUMBER(MATCH(C4,$J$2:$J$6,0)),INDEX($K$2:$K$6,MATCH(C4,$J$2:$J$6,0)),2500)))</f>
        <v/>
      </c>
      <c r="G4" s="10" t="s">
        <v>11</v>
      </c>
      <c r="H4" s="11" t="n">
        <v>2314</v>
      </c>
      <c r="J4" s="12" t="s">
        <v>12</v>
      </c>
      <c r="K4" s="13" t="n">
        <v>8920</v>
      </c>
    </row>
    <row r="5" customFormat="false" ht="20.25" hidden="false" customHeight="false" outlineLevel="0" collapsed="false">
      <c r="A5" s="6" t="n">
        <v>4</v>
      </c>
      <c r="B5" s="14"/>
      <c r="C5" s="8" t="s">
        <v>5</v>
      </c>
      <c r="D5" s="16" t="n">
        <f aca="false" t="array" ref="D5:D5">IF(AND(B5="",C5=""),"",IF(ISNUMBER(MATCH(B5,$N$2:$N$13,0)),INDEX($O$2:$O$13,MATCH(B5,$N$2:$N$13,0)),IF(ISNUMBER(MATCH(C5,$J$2:$J$6,0)),INDEX($K$2:$K$6,MATCH(C5,$J$2:$J$6,0)),2500)))</f>
        <v>3016</v>
      </c>
      <c r="G5" s="10" t="s">
        <v>13</v>
      </c>
      <c r="H5" s="11" t="n">
        <v>98</v>
      </c>
      <c r="J5" s="12" t="s">
        <v>14</v>
      </c>
      <c r="K5" s="13" t="n">
        <v>201</v>
      </c>
    </row>
    <row r="6" customFormat="false" ht="20.25" hidden="false" customHeight="false" outlineLevel="0" collapsed="false">
      <c r="A6" s="6" t="n">
        <v>5</v>
      </c>
      <c r="B6" s="14"/>
      <c r="C6" s="14" t="s">
        <v>15</v>
      </c>
      <c r="D6" s="17" t="n">
        <f aca="false" t="array" ref="D6:D6">IF(AND(B6="",C6=""),"",IF(ISNUMBER(MATCH(B6,$N$2:$N$13,0)),INDEX($O$2:$O$13,MATCH(B6,$N$2:$N$13,0)),IF(ISNUMBER(MATCH(C6,$J$2:$J$6,0)),INDEX($K$2:$K$6,MATCH(C6,$J$2:$J$6,0)),2500)))</f>
        <v>2500</v>
      </c>
      <c r="G6" s="10" t="s">
        <v>16</v>
      </c>
      <c r="H6" s="11" t="n">
        <v>25</v>
      </c>
      <c r="J6" s="12" t="s">
        <v>5</v>
      </c>
      <c r="K6" s="13" t="n">
        <v>3016</v>
      </c>
    </row>
    <row r="7" customFormat="false" ht="20.25" hidden="false" customHeight="false" outlineLevel="0" collapsed="false">
      <c r="A7" s="6" t="n">
        <v>6</v>
      </c>
      <c r="B7" s="14" t="s">
        <v>17</v>
      </c>
      <c r="C7" s="8" t="s">
        <v>14</v>
      </c>
      <c r="D7" s="16" t="n">
        <f aca="false" t="array" ref="D7:D7">IF(AND(B7="",C7=""),"",IF(ISNUMBER(MATCH(B7,$N$2:$N$13,0)),INDEX($O$2:$O$13,MATCH(B7,$N$2:$N$13,0)),IF(ISNUMBER(MATCH(C7,$J$2:$J$6,0)),INDEX($K$2:$K$6,MATCH(C7,$J$2:$J$6,0)),2500)))</f>
        <v>201</v>
      </c>
      <c r="G7" s="10" t="s">
        <v>18</v>
      </c>
      <c r="H7" s="11" t="n">
        <v>1222</v>
      </c>
    </row>
    <row r="8" customFormat="false" ht="20.25" hidden="false" customHeight="false" outlineLevel="0" collapsed="false">
      <c r="A8" s="6" t="n">
        <v>7</v>
      </c>
      <c r="B8" s="14"/>
      <c r="C8" s="14"/>
      <c r="D8" s="15"/>
      <c r="G8" s="10" t="s">
        <v>19</v>
      </c>
      <c r="H8" s="11" t="n">
        <v>2586</v>
      </c>
      <c r="J8" s="18" t="s">
        <v>20</v>
      </c>
      <c r="K8" s="18"/>
    </row>
    <row r="9" customFormat="false" ht="20.25" hidden="false" customHeight="false" outlineLevel="0" collapsed="false">
      <c r="A9" s="6" t="n">
        <v>8</v>
      </c>
      <c r="B9" s="14"/>
      <c r="C9" s="14"/>
      <c r="D9" s="15"/>
      <c r="G9" s="10" t="s">
        <v>21</v>
      </c>
      <c r="H9" s="11" t="n">
        <v>3950</v>
      </c>
    </row>
    <row r="10" customFormat="false" ht="20.25" hidden="false" customHeight="false" outlineLevel="0" collapsed="false">
      <c r="A10" s="6" t="n">
        <v>9</v>
      </c>
      <c r="B10" s="14"/>
      <c r="C10" s="14"/>
      <c r="D10" s="15"/>
      <c r="G10" s="10" t="s">
        <v>22</v>
      </c>
      <c r="H10" s="11" t="n">
        <v>5314</v>
      </c>
    </row>
    <row r="11" customFormat="false" ht="20.25" hidden="false" customHeight="false" outlineLevel="0" collapsed="false">
      <c r="A11" s="6" t="n">
        <v>10</v>
      </c>
      <c r="B11" s="14"/>
      <c r="C11" s="14"/>
      <c r="D11" s="15"/>
      <c r="G11" s="10" t="s">
        <v>23</v>
      </c>
      <c r="H11" s="11" t="n">
        <v>6678</v>
      </c>
    </row>
    <row r="12" customFormat="false" ht="20.25" hidden="false" customHeight="false" outlineLevel="0" collapsed="false">
      <c r="A12" s="6" t="n">
        <v>11</v>
      </c>
      <c r="B12" s="14"/>
      <c r="C12" s="14"/>
      <c r="D12" s="15"/>
      <c r="G12" s="10" t="s">
        <v>24</v>
      </c>
      <c r="H12" s="11" t="n">
        <v>8042</v>
      </c>
    </row>
    <row r="13" customFormat="false" ht="20.25" hidden="false" customHeight="false" outlineLevel="0" collapsed="false">
      <c r="A13" s="6" t="n">
        <v>12</v>
      </c>
      <c r="B13" s="14"/>
      <c r="C13" s="14"/>
      <c r="D13" s="15"/>
      <c r="G13" s="10" t="s">
        <v>25</v>
      </c>
      <c r="H13" s="11" t="n">
        <v>9406</v>
      </c>
    </row>
    <row r="14" customFormat="false" ht="20.25" hidden="false" customHeight="false" outlineLevel="0" collapsed="false">
      <c r="A14" s="6" t="n">
        <v>13</v>
      </c>
      <c r="B14" s="14"/>
      <c r="C14" s="14"/>
      <c r="D14" s="6"/>
    </row>
    <row r="15" customFormat="false" ht="20.25" hidden="false" customHeight="false" outlineLevel="0" collapsed="false">
      <c r="A15" s="6" t="n">
        <v>14</v>
      </c>
      <c r="B15" s="14"/>
      <c r="C15" s="14"/>
      <c r="D15" s="6"/>
      <c r="G15" s="18" t="s">
        <v>26</v>
      </c>
      <c r="H15" s="18"/>
    </row>
    <row r="16" customFormat="false" ht="20.25" hidden="false" customHeight="false" outlineLevel="0" collapsed="false">
      <c r="A16" s="6" t="n">
        <v>15</v>
      </c>
      <c r="B16" s="14"/>
      <c r="C16" s="14"/>
      <c r="D16" s="6"/>
    </row>
    <row r="17" customFormat="false" ht="20.25" hidden="false" customHeight="false" outlineLevel="0" collapsed="false">
      <c r="A17" s="6" t="n">
        <v>16</v>
      </c>
      <c r="B17" s="14"/>
      <c r="C17" s="14"/>
      <c r="D17" s="6"/>
    </row>
    <row r="18" customFormat="false" ht="20.25" hidden="false" customHeight="false" outlineLevel="0" collapsed="false">
      <c r="A18" s="6" t="n">
        <v>17</v>
      </c>
      <c r="B18" s="14"/>
      <c r="C18" s="14"/>
      <c r="D18" s="6"/>
    </row>
    <row r="19" customFormat="false" ht="20.25" hidden="false" customHeight="false" outlineLevel="0" collapsed="false">
      <c r="A19" s="6" t="n">
        <v>18</v>
      </c>
      <c r="B19" s="14"/>
      <c r="C19" s="14"/>
      <c r="D19" s="6"/>
    </row>
    <row r="20" customFormat="false" ht="20.25" hidden="false" customHeight="false" outlineLevel="0" collapsed="false">
      <c r="A20" s="6" t="n">
        <v>19</v>
      </c>
      <c r="B20" s="14"/>
      <c r="C20" s="14"/>
      <c r="D20" s="6"/>
    </row>
    <row r="21" customFormat="false" ht="20.25" hidden="false" customHeight="false" outlineLevel="0" collapsed="false">
      <c r="A21" s="19"/>
      <c r="B21" s="19"/>
      <c r="C21" s="19"/>
      <c r="D21" s="19"/>
      <c r="E21" s="19"/>
      <c r="F21" s="19"/>
    </row>
    <row r="22" customFormat="false" ht="20.25" hidden="false" customHeight="false" outlineLevel="0" collapsed="false">
      <c r="B22" s="20"/>
    </row>
  </sheetData>
  <mergeCells count="2">
    <mergeCell ref="J8:K8"/>
    <mergeCell ref="G15:H15"/>
  </mergeCells>
  <conditionalFormatting sqref="D1:D13">
    <cfRule type="expression" priority="2" aboveAverage="0" equalAverage="0" bottom="0" percent="0" rank="0" text="" dxfId="0">
      <formula>IF(OR(VALUE($G1)=2500,$B1=""),1,0)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2016-08-25T16:28:00Z</dcterms:created>
  <dc:creator>PROGACC-m</dc:creator>
  <dc:description/>
  <dc:language>en-US</dc:language>
  <cp:lastModifiedBy>Ag*＋Cl~＝</cp:lastModifiedBy>
  <dcterms:modified xsi:type="dcterms:W3CDTF">2026-09-06T07:12:38Z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6122AFDAF7A15FB7113E3F66980295F4_42</vt:lpwstr>
  </property>
  <property fmtid="{D5CDD505-2E9C-101B-9397-08002B2CF9AE}" pid="3" name="KSOProductBuildVer">
    <vt:lpwstr>2052-6.5.2.8766</vt:lpwstr>
  </property>
</Properties>
</file>