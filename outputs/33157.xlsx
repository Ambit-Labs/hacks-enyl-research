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list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/mm/yyyy;@"/>
    <numFmt numFmtId="165" formatCode="dd/mm/yy;;;"/>
    <numFmt numFmtId="166" formatCode="m/d/yyyy"/>
  </numFmts>
  <fonts count="6">
    <font>
      <name val="等线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等线"/>
      <charset val="134"/>
      <family val="0"/>
      <b val="1"/>
      <color theme="1"/>
      <sz val="11"/>
    </font>
    <font>
      <name val="等线"/>
      <charset val="134"/>
      <family val="0"/>
      <color theme="1"/>
      <sz val="9"/>
    </font>
  </fonts>
  <fills count="5">
    <fill>
      <patternFill/>
    </fill>
    <fill>
      <patternFill patternType="gray125"/>
    </fill>
    <fill>
      <patternFill patternType="solid">
        <fgColor theme="9" tint="0.7999000000000001"/>
        <bgColor rgb="FFFFFFCC"/>
      </patternFill>
    </fill>
    <fill>
      <patternFill patternType="solid">
        <fgColor theme="9" tint="0.5999"/>
        <bgColor rgb="FFE2F0D9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left" vertical="bottom"/>
    </xf>
    <xf numFmtId="0" fontId="4" fillId="0" borderId="1" applyAlignment="1" pivotButton="0" quotePrefix="0" xfId="0">
      <alignment horizontal="general" vertical="center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left" vertical="bottom"/>
    </xf>
    <xf numFmtId="164" fontId="5" fillId="2" borderId="1" applyAlignment="1" pivotButton="0" quotePrefix="0" xfId="0">
      <alignment horizontal="left" vertical="bottom"/>
    </xf>
    <xf numFmtId="0" fontId="5" fillId="3" borderId="1" applyAlignment="1" pivotButton="0" quotePrefix="0" xfId="0">
      <alignment horizontal="left" vertical="bottom"/>
    </xf>
    <xf numFmtId="164" fontId="5" fillId="3" borderId="1" applyAlignment="1" pivotButton="0" quotePrefix="0" xfId="0">
      <alignment horizontal="left" vertical="bottom"/>
    </xf>
    <xf numFmtId="165" fontId="5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general" vertical="center"/>
    </xf>
    <xf numFmtId="0" fontId="4" fillId="0" borderId="1" applyAlignment="1" pivotButton="0" quotePrefix="0" xfId="0">
      <alignment horizontal="general" vertical="center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general" vertical="center" wrapText="1"/>
    </xf>
    <xf numFmtId="0" fontId="0" fillId="0" borderId="0" pivotButton="0" quotePrefix="0" xfId="0"/>
    <xf numFmtId="0" fontId="0" fillId="0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left" vertical="bottom"/>
    </xf>
    <xf numFmtId="164" fontId="5" fillId="2" borderId="1" applyAlignment="1" pivotButton="0" quotePrefix="0" xfId="0">
      <alignment horizontal="left" vertical="bottom"/>
    </xf>
    <xf numFmtId="0" fontId="5" fillId="3" borderId="1" applyAlignment="1" pivotButton="0" quotePrefix="0" xfId="0">
      <alignment horizontal="left" vertical="bottom"/>
    </xf>
    <xf numFmtId="164" fontId="5" fillId="3" borderId="1" applyAlignment="1" pivotButton="0" quotePrefix="0" xfId="0">
      <alignment horizontal="left" vertical="bottom"/>
    </xf>
    <xf numFmtId="165" fontId="5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6"/>
  <sheetViews>
    <sheetView showFormulas="0" showGridLines="1" showRowColHeaders="1" showZeros="1" rightToLeft="0" tabSelected="1" showOutlineSymbols="1" defaultGridColor="1" view="normal" topLeftCell="D1" colorId="64" zoomScale="100" zoomScaleNormal="100" zoomScalePageLayoutView="100" workbookViewId="0">
      <selection pane="topLeft" activeCell="K2" activeCellId="0" sqref="K2"/>
    </sheetView>
  </sheetViews>
  <sheetFormatPr baseColWidth="8" defaultColWidth="8.88671875" defaultRowHeight="13.5" customHeight="0" zeroHeight="0" outlineLevelRow="0"/>
  <cols>
    <col width="20.77" customWidth="1" style="19" min="1" max="1"/>
    <col width="25.34" customWidth="1" style="20" min="2" max="2"/>
    <col width="10.21" customWidth="1" style="20" min="3" max="3"/>
    <col width="25.34" customWidth="1" style="20" min="4" max="4"/>
    <col width="10.21" customWidth="1" style="20" min="5" max="5"/>
    <col width="25.34" customWidth="1" style="20" min="6" max="6"/>
    <col width="10.21" customWidth="1" style="20" min="7" max="7"/>
    <col width="25.34" customWidth="1" style="20" min="8" max="8"/>
    <col width="10.21" customWidth="1" style="20" min="9" max="9"/>
    <col width="10.44" customWidth="1" style="19" min="10" max="10"/>
    <col width="31.21" customWidth="1" style="19" min="11" max="11"/>
    <col width="8.880000000000001" customWidth="1" style="19" min="12" max="16384"/>
  </cols>
  <sheetData>
    <row r="1" ht="42" customFormat="1" customHeight="1" s="21">
      <c r="A1" s="22" t="inlineStr">
        <is>
          <t>Name</t>
        </is>
      </c>
      <c r="B1" s="23" t="inlineStr">
        <is>
          <t>Activity 1</t>
        </is>
      </c>
      <c r="C1" s="24" t="inlineStr">
        <is>
          <t>Activity 1
Date</t>
        </is>
      </c>
      <c r="D1" s="25" t="inlineStr">
        <is>
          <t>Activity 2</t>
        </is>
      </c>
      <c r="E1" s="26" t="inlineStr">
        <is>
          <t>Activity 2
Date</t>
        </is>
      </c>
      <c r="F1" s="23" t="inlineStr">
        <is>
          <t>Activity 3</t>
        </is>
      </c>
      <c r="G1" s="24" t="inlineStr">
        <is>
          <t>Activity 3
Date</t>
        </is>
      </c>
      <c r="H1" s="25" t="inlineStr">
        <is>
          <t>Activity 4</t>
        </is>
      </c>
      <c r="I1" s="26" t="inlineStr">
        <is>
          <t>Activity 4
Date</t>
        </is>
      </c>
      <c r="J1" s="27" t="inlineStr">
        <is>
          <t>Earliest
Date 
Attended</t>
        </is>
      </c>
      <c r="K1" s="22" t="inlineStr">
        <is>
          <t>Earliest Activity Attended</t>
        </is>
      </c>
    </row>
    <row r="2" ht="13.5" customHeight="1" s="28">
      <c r="A2" s="29" t="inlineStr">
        <is>
          <t>Mr A</t>
        </is>
      </c>
      <c r="B2" s="30" t="inlineStr">
        <is>
          <t>15/08/2004 - Electrical - Venus</t>
        </is>
      </c>
      <c r="C2" s="31">
        <f>IFERROR(VALUE(REPLACE(B2,11,500,"")),"")</f>
        <v/>
      </c>
      <c r="D2" s="32" t="inlineStr">
        <is>
          <t>11/05/1999 -WoodWork - Saturn</t>
        </is>
      </c>
      <c r="E2" s="33">
        <f>IFERROR(VALUE(REPLACE(D2,11,500,"")),"")</f>
        <v/>
      </c>
      <c r="F2" s="30" t="inlineStr">
        <is>
          <t>16/01/2009 - Plumbing - Pluto</t>
        </is>
      </c>
      <c r="G2" s="31">
        <f>IFERROR(VALUE(REPLACE(F2,11,500,"")),"")</f>
        <v/>
      </c>
      <c r="H2" s="32" t="n"/>
      <c r="I2" s="33">
        <f>IFERROR(VALUE(REPLACE(H2,11,500,"")),"")</f>
        <v/>
      </c>
      <c r="J2" s="34">
        <f>VALUE(MIN(C2,E2,G2,I2))</f>
        <v/>
      </c>
      <c r="K2" s="35">
        <f>IF(MIN(IF(B2="",9999999999,DATE(VALUE(RIGHT(LEFT(B2,10),4)),VALUE(MID(B2,4,2)),VALUE(LEFT(B2,2)))),IF(D2="",9999999999,DATE(VALUE(RIGHT(LEFT(D2,10),4)),VALUE(MID(D2,4,2)),VALUE(LEFT(D2,2)))),IF(F2="",9999999999,DATE(VALUE(RIGHT(LEFT(F2,10),4)),VALUE(MID(F2,4,2)),VALUE(LEFT(F2,2)))),IF(H2="",9999999999,DATE(VALUE(RIGHT(LEFT(H2,10),4)),VALUE(MID(H2,4,2)),VALUE(LEFT(H2,2)))))=IF(B2="",9999999999,DATE(VALUE(RIGHT(LEFT(B2,10),4)),VALUE(MID(B2,4,2)),VALUE(LEFT(B2,2)))),$B$1,IF(MIN(IF(B2="",9999999999,DATE(VALUE(RIGHT(LEFT(B2,10),4)),VALUE(MID(B2,4,2)),VALUE(LEFT(B2,2)))),IF(D2="",9999999999,DATE(VALUE(RIGHT(LEFT(D2,10),4)),VALUE(MID(D2,4,2)),VALUE(LEFT(D2,2)))),IF(F2="",9999999999,DATE(VALUE(RIGHT(LEFT(F2,10),4)),VALUE(MID(F2,4,2)),VALUE(LEFT(F2,2)))),IF(H2="",9999999999,DATE(VALUE(RIGHT(LEFT(H2,10),4)),VALUE(MID(H2,4,2)),VALUE(LEFT(H2,2)))))=IF(D2="",9999999999,DATE(VALUE(RIGHT(LEFT(D2,10),4)),VALUE(MID(D2,4,2)),VALUE(LEFT(D2,2)))),$D$1,IF(MIN(IF(B2="",9999999999,DATE(VALUE(RIGHT(LEFT(B2,10),4)),VALUE(MID(B2,4,2)),VALUE(LEFT(B2,2)))),IF(D2="",9999999999,DATE(VALUE(RIGHT(LEFT(D2,10),4)),VALUE(MID(D2,4,2)),VALUE(LEFT(D2,2)))),IF(F2="",9999999999,DATE(VALUE(RIGHT(LEFT(F2,10),4)),VALUE(MID(F2,4,2)),VALUE(LEFT(F2,2)))),IF(H2="",9999999999,DATE(VALUE(RIGHT(LEFT(H2,10),4)),VALUE(MID(H2,4,2)),VALUE(LEFT(H2,2)))))=IF(F2="",9999999999,DATE(VALUE(RIGHT(LEFT(F2,10),4)),VALUE(MID(F2,4,2)),VALUE(LEFT(F2,2)))),$F$1,IF(MIN(IF(B2="",9999999999,DATE(VALUE(RIGHT(LEFT(B2,10),4)),VALUE(MID(B2,4,2)),VALUE(LEFT(B2,2)))),IF(D2="",9999999999,DATE(VALUE(RIGHT(LEFT(D2,10),4)),VALUE(MID(D2,4,2)),VALUE(LEFT(D2,2)))),IF(F2="",9999999999,DATE(VALUE(RIGHT(LEFT(F2,10),4)),VALUE(MID(F2,4,2)),VALUE(LEFT(F2,2)))),IF(H2="",9999999999,DATE(VALUE(RIGHT(LEFT(H2,10),4)),VALUE(MID(H2,4,2)),VALUE(LEFT(H2,2)))))=IF(H2="",9999999999,DATE(VALUE(RIGHT(LEFT(H2,10),4)),VALUE(MID(H2,4,2)),VALUE(LEFT(H2,2)))),$H$1,""))))</f>
        <v/>
      </c>
    </row>
    <row r="3" ht="13.5" customHeight="1" s="28">
      <c r="A3" s="29" t="inlineStr">
        <is>
          <t>Mr B</t>
        </is>
      </c>
      <c r="B3" s="30" t="inlineStr">
        <is>
          <t>16/01/2009 - Plumbing - Pluto</t>
        </is>
      </c>
      <c r="C3" s="31">
        <f>IFERROR(VALUE(REPLACE(B3,11,500,"")),"")</f>
        <v/>
      </c>
      <c r="D3" s="32" t="n"/>
      <c r="E3" s="33">
        <f>IFERROR(VALUE(REPLACE(D3,11,500,"")),"")</f>
        <v/>
      </c>
      <c r="F3" s="30" t="n"/>
      <c r="G3" s="31">
        <f>IFERROR(VALUE(REPLACE(F3,11,500,"")),"")</f>
        <v/>
      </c>
      <c r="H3" s="32" t="n"/>
      <c r="I3" s="33">
        <f>IFERROR(VALUE(REPLACE(H3,11,500,"")),"")</f>
        <v/>
      </c>
      <c r="J3" s="34">
        <f>VALUE(MIN(C3,E3,G3,I3))</f>
        <v/>
      </c>
      <c r="K3" s="35">
        <f>IF(MIN(IF(B3="",9999999999,DATE(VALUE(RIGHT(LEFT(B3,10),4)),VALUE(MID(B3,4,2)),VALUE(LEFT(B3,2)))),IF(D3="",9999999999,DATE(VALUE(RIGHT(LEFT(D3,10),4)),VALUE(MID(D3,4,2)),VALUE(LEFT(D3,2)))),IF(F3="",9999999999,DATE(VALUE(RIGHT(LEFT(F3,10),4)),VALUE(MID(F3,4,2)),VALUE(LEFT(F3,2)))),IF(H3="",9999999999,DATE(VALUE(RIGHT(LEFT(H3,10),4)),VALUE(MID(H3,4,2)),VALUE(LEFT(H3,2)))))=IF(B3="",9999999999,DATE(VALUE(RIGHT(LEFT(B3,10),4)),VALUE(MID(B3,4,2)),VALUE(LEFT(B3,2)))),$B$1,IF(MIN(IF(B3="",9999999999,DATE(VALUE(RIGHT(LEFT(B3,10),4)),VALUE(MID(B3,4,2)),VALUE(LEFT(B3,2)))),IF(D3="",9999999999,DATE(VALUE(RIGHT(LEFT(D3,10),4)),VALUE(MID(D3,4,2)),VALUE(LEFT(D3,2)))),IF(F3="",9999999999,DATE(VALUE(RIGHT(LEFT(F3,10),4)),VALUE(MID(F3,4,2)),VALUE(LEFT(F3,2)))),IF(H3="",9999999999,DATE(VALUE(RIGHT(LEFT(H3,10),4)),VALUE(MID(H3,4,2)),VALUE(LEFT(H3,2)))))=IF(D3="",9999999999,DATE(VALUE(RIGHT(LEFT(D3,10),4)),VALUE(MID(D3,4,2)),VALUE(LEFT(D3,2)))),$D$1,IF(MIN(IF(B3="",9999999999,DATE(VALUE(RIGHT(LEFT(B3,10),4)),VALUE(MID(B3,4,2)),VALUE(LEFT(B3,2)))),IF(D3="",9999999999,DATE(VALUE(RIGHT(LEFT(D3,10),4)),VALUE(MID(D3,4,2)),VALUE(LEFT(D3,2)))),IF(F3="",9999999999,DATE(VALUE(RIGHT(LEFT(F3,10),4)),VALUE(MID(F3,4,2)),VALUE(LEFT(F3,2)))),IF(H3="",9999999999,DATE(VALUE(RIGHT(LEFT(H3,10),4)),VALUE(MID(H3,4,2)),VALUE(LEFT(H3,2)))))=IF(F3="",9999999999,DATE(VALUE(RIGHT(LEFT(F3,10),4)),VALUE(MID(F3,4,2)),VALUE(LEFT(F3,2)))),$F$1,IF(MIN(IF(B3="",9999999999,DATE(VALUE(RIGHT(LEFT(B3,10),4)),VALUE(MID(B3,4,2)),VALUE(LEFT(B3,2)))),IF(D3="",9999999999,DATE(VALUE(RIGHT(LEFT(D3,10),4)),VALUE(MID(D3,4,2)),VALUE(LEFT(D3,2)))),IF(F3="",9999999999,DATE(VALUE(RIGHT(LEFT(F3,10),4)),VALUE(MID(F3,4,2)),VALUE(LEFT(F3,2)))),IF(H3="",9999999999,DATE(VALUE(RIGHT(LEFT(H3,10),4)),VALUE(MID(H3,4,2)),VALUE(LEFT(H3,2)))))=IF(H3="",9999999999,DATE(VALUE(RIGHT(LEFT(H3,10),4)),VALUE(MID(H3,4,2)),VALUE(LEFT(H3,2)))),$H$1,""))))</f>
        <v/>
      </c>
    </row>
    <row r="4" ht="13.5" customHeight="1" s="28">
      <c r="A4" s="29" t="inlineStr">
        <is>
          <t>Miss D</t>
        </is>
      </c>
      <c r="B4" s="30" t="inlineStr">
        <is>
          <t>17/12/2008 - Basket Weaving - Mars</t>
        </is>
      </c>
      <c r="C4" s="31">
        <f>IFERROR(VALUE(REPLACE(B4,11,500,"")),"")</f>
        <v/>
      </c>
      <c r="D4" s="32" t="inlineStr">
        <is>
          <t>18/04/2018 - Electrical - Earth</t>
        </is>
      </c>
      <c r="E4" s="33">
        <f>IFERROR(VALUE(REPLACE(D4,11,500,"")),"")</f>
        <v/>
      </c>
      <c r="F4" s="30" t="n"/>
      <c r="G4" s="31">
        <f>IFERROR(VALUE(REPLACE(F4,11,500,"")),"")</f>
        <v/>
      </c>
      <c r="H4" s="32" t="n"/>
      <c r="I4" s="33">
        <f>IFERROR(VALUE(REPLACE(H4,11,500,"")),"")</f>
        <v/>
      </c>
      <c r="J4" s="34">
        <f>VALUE(MIN(C4,E4,G4,I4))</f>
        <v/>
      </c>
      <c r="K4" s="35">
        <f>IF(MIN(IF(B4="",9999999999,DATE(VALUE(RIGHT(LEFT(B4,10),4)),VALUE(MID(B4,4,2)),VALUE(LEFT(B4,2)))),IF(D4="",9999999999,DATE(VALUE(RIGHT(LEFT(D4,10),4)),VALUE(MID(D4,4,2)),VALUE(LEFT(D4,2)))),IF(F4="",9999999999,DATE(VALUE(RIGHT(LEFT(F4,10),4)),VALUE(MID(F4,4,2)),VALUE(LEFT(F4,2)))),IF(H4="",9999999999,DATE(VALUE(RIGHT(LEFT(H4,10),4)),VALUE(MID(H4,4,2)),VALUE(LEFT(H4,2)))))=IF(B4="",9999999999,DATE(VALUE(RIGHT(LEFT(B4,10),4)),VALUE(MID(B4,4,2)),VALUE(LEFT(B4,2)))),$B$1,IF(MIN(IF(B4="",9999999999,DATE(VALUE(RIGHT(LEFT(B4,10),4)),VALUE(MID(B4,4,2)),VALUE(LEFT(B4,2)))),IF(D4="",9999999999,DATE(VALUE(RIGHT(LEFT(D4,10),4)),VALUE(MID(D4,4,2)),VALUE(LEFT(D4,2)))),IF(F4="",9999999999,DATE(VALUE(RIGHT(LEFT(F4,10),4)),VALUE(MID(F4,4,2)),VALUE(LEFT(F4,2)))),IF(H4="",9999999999,DATE(VALUE(RIGHT(LEFT(H4,10),4)),VALUE(MID(H4,4,2)),VALUE(LEFT(H4,2)))))=IF(D4="",9999999999,DATE(VALUE(RIGHT(LEFT(D4,10),4)),VALUE(MID(D4,4,2)),VALUE(LEFT(D4,2)))),$D$1,IF(MIN(IF(B4="",9999999999,DATE(VALUE(RIGHT(LEFT(B4,10),4)),VALUE(MID(B4,4,2)),VALUE(LEFT(B4,2)))),IF(D4="",9999999999,DATE(VALUE(RIGHT(LEFT(D4,10),4)),VALUE(MID(D4,4,2)),VALUE(LEFT(D4,2)))),IF(F4="",9999999999,DATE(VALUE(RIGHT(LEFT(F4,10),4)),VALUE(MID(F4,4,2)),VALUE(LEFT(F4,2)))),IF(H4="",9999999999,DATE(VALUE(RIGHT(LEFT(H4,10),4)),VALUE(MID(H4,4,2)),VALUE(LEFT(H4,2)))))=IF(F4="",9999999999,DATE(VALUE(RIGHT(LEFT(F4,10),4)),VALUE(MID(F4,4,2)),VALUE(LEFT(F4,2)))),$F$1,IF(MIN(IF(B4="",9999999999,DATE(VALUE(RIGHT(LEFT(B4,10),4)),VALUE(MID(B4,4,2)),VALUE(LEFT(B4,2)))),IF(D4="",9999999999,DATE(VALUE(RIGHT(LEFT(D4,10),4)),VALUE(MID(D4,4,2)),VALUE(LEFT(D4,2)))),IF(F4="",9999999999,DATE(VALUE(RIGHT(LEFT(F4,10),4)),VALUE(MID(F4,4,2)),VALUE(LEFT(F4,2)))),IF(H4="",9999999999,DATE(VALUE(RIGHT(LEFT(H4,10),4)),VALUE(MID(H4,4,2)),VALUE(LEFT(H4,2)))))=IF(H4="",9999999999,DATE(VALUE(RIGHT(LEFT(H4,10),4)),VALUE(MID(H4,4,2)),VALUE(LEFT(H4,2)))),$H$1,""))))</f>
        <v/>
      </c>
    </row>
    <row r="5" ht="13.5" customHeight="1" s="28">
      <c r="A5" s="29" t="inlineStr">
        <is>
          <t>Mrs E</t>
        </is>
      </c>
      <c r="B5" s="30" t="inlineStr">
        <is>
          <t>18/04/2018 - Electrical - Earth</t>
        </is>
      </c>
      <c r="C5" s="31">
        <f>IFERROR(VALUE(REPLACE(B5,11,500,"")),"")</f>
        <v/>
      </c>
      <c r="D5" s="32" t="inlineStr">
        <is>
          <t>17/12/2008 - Basket Weaving - Mars</t>
        </is>
      </c>
      <c r="E5" s="33">
        <f>IFERROR(VALUE(REPLACE(D5,11,500,"")),"")</f>
        <v/>
      </c>
      <c r="F5" s="30" t="inlineStr">
        <is>
          <t>24/09/2021 - Plumbing - Venus</t>
        </is>
      </c>
      <c r="G5" s="31">
        <f>IFERROR(VALUE(REPLACE(F5,11,500,"")),"")</f>
        <v/>
      </c>
      <c r="H5" s="32" t="inlineStr">
        <is>
          <t>16/01/2009 - Plumbing - Pluto</t>
        </is>
      </c>
      <c r="I5" s="33">
        <f>IFERROR(VALUE(REPLACE(H5,11,500,"")),"")</f>
        <v/>
      </c>
      <c r="J5" s="34">
        <f>VALUE(MIN(C5,E5,G5,I5))</f>
        <v/>
      </c>
      <c r="K5" s="35">
        <f>IF(MIN(IF(B5="",9999999999,DATE(VALUE(RIGHT(LEFT(B5,10),4)),VALUE(MID(B5,4,2)),VALUE(LEFT(B5,2)))),IF(D5="",9999999999,DATE(VALUE(RIGHT(LEFT(D5,10),4)),VALUE(MID(D5,4,2)),VALUE(LEFT(D5,2)))),IF(F5="",9999999999,DATE(VALUE(RIGHT(LEFT(F5,10),4)),VALUE(MID(F5,4,2)),VALUE(LEFT(F5,2)))),IF(H5="",9999999999,DATE(VALUE(RIGHT(LEFT(H5,10),4)),VALUE(MID(H5,4,2)),VALUE(LEFT(H5,2)))))=IF(B5="",9999999999,DATE(VALUE(RIGHT(LEFT(B5,10),4)),VALUE(MID(B5,4,2)),VALUE(LEFT(B5,2)))),$B$1,IF(MIN(IF(B5="",9999999999,DATE(VALUE(RIGHT(LEFT(B5,10),4)),VALUE(MID(B5,4,2)),VALUE(LEFT(B5,2)))),IF(D5="",9999999999,DATE(VALUE(RIGHT(LEFT(D5,10),4)),VALUE(MID(D5,4,2)),VALUE(LEFT(D5,2)))),IF(F5="",9999999999,DATE(VALUE(RIGHT(LEFT(F5,10),4)),VALUE(MID(F5,4,2)),VALUE(LEFT(F5,2)))),IF(H5="",9999999999,DATE(VALUE(RIGHT(LEFT(H5,10),4)),VALUE(MID(H5,4,2)),VALUE(LEFT(H5,2)))))=IF(D5="",9999999999,DATE(VALUE(RIGHT(LEFT(D5,10),4)),VALUE(MID(D5,4,2)),VALUE(LEFT(D5,2)))),$D$1,IF(MIN(IF(B5="",9999999999,DATE(VALUE(RIGHT(LEFT(B5,10),4)),VALUE(MID(B5,4,2)),VALUE(LEFT(B5,2)))),IF(D5="",9999999999,DATE(VALUE(RIGHT(LEFT(D5,10),4)),VALUE(MID(D5,4,2)),VALUE(LEFT(D5,2)))),IF(F5="",9999999999,DATE(VALUE(RIGHT(LEFT(F5,10),4)),VALUE(MID(F5,4,2)),VALUE(LEFT(F5,2)))),IF(H5="",9999999999,DATE(VALUE(RIGHT(LEFT(H5,10),4)),VALUE(MID(H5,4,2)),VALUE(LEFT(H5,2)))))=IF(F5="",9999999999,DATE(VALUE(RIGHT(LEFT(F5,10),4)),VALUE(MID(F5,4,2)),VALUE(LEFT(F5,2)))),$F$1,IF(MIN(IF(B5="",9999999999,DATE(VALUE(RIGHT(LEFT(B5,10),4)),VALUE(MID(B5,4,2)),VALUE(LEFT(B5,2)))),IF(D5="",9999999999,DATE(VALUE(RIGHT(LEFT(D5,10),4)),VALUE(MID(D5,4,2)),VALUE(LEFT(D5,2)))),IF(F5="",9999999999,DATE(VALUE(RIGHT(LEFT(F5,10),4)),VALUE(MID(F5,4,2)),VALUE(LEFT(F5,2)))),IF(H5="",9999999999,DATE(VALUE(RIGHT(LEFT(H5,10),4)),VALUE(MID(H5,4,2)),VALUE(LEFT(H5,2)))))=IF(H5="",9999999999,DATE(VALUE(RIGHT(LEFT(H5,10),4)),VALUE(MID(H5,4,2)),VALUE(LEFT(H5,2)))),$H$1,""))))</f>
        <v/>
      </c>
    </row>
    <row r="6" ht="13.5" customHeight="1" s="28">
      <c r="A6" s="29" t="inlineStr">
        <is>
          <t>Mrs F</t>
        </is>
      </c>
      <c r="B6" s="30" t="inlineStr">
        <is>
          <t>11/05/1999 -WoodWork - Saturn</t>
        </is>
      </c>
      <c r="C6" s="31">
        <f>IFERROR(VALUE(REPLACE(B6,11,500,"")),"")</f>
        <v/>
      </c>
      <c r="D6" s="32" t="inlineStr">
        <is>
          <t>15/08/2004 - Electrical - Venus</t>
        </is>
      </c>
      <c r="E6" s="33">
        <f>IFERROR(VALUE(REPLACE(D6,11,500,"")),"")</f>
        <v/>
      </c>
      <c r="F6" s="30" t="n"/>
      <c r="G6" s="31">
        <f>IFERROR(VALUE(REPLACE(F6,11,500,"")),"")</f>
        <v/>
      </c>
      <c r="H6" s="32" t="n"/>
      <c r="I6" s="33">
        <f>IFERROR(VALUE(REPLACE(H6,11,500,"")),"")</f>
        <v/>
      </c>
      <c r="J6" s="34">
        <f>VALUE(MIN(C6,E6,G6,I6))</f>
        <v/>
      </c>
      <c r="K6" s="35">
        <f>IF(MIN(IF(B6="",9999999999,DATE(VALUE(RIGHT(LEFT(B6,10),4)),VALUE(MID(B6,4,2)),VALUE(LEFT(B6,2)))),IF(D6="",9999999999,DATE(VALUE(RIGHT(LEFT(D6,10),4)),VALUE(MID(D6,4,2)),VALUE(LEFT(D6,2)))),IF(F6="",9999999999,DATE(VALUE(RIGHT(LEFT(F6,10),4)),VALUE(MID(F6,4,2)),VALUE(LEFT(F6,2)))),IF(H6="",9999999999,DATE(VALUE(RIGHT(LEFT(H6,10),4)),VALUE(MID(H6,4,2)),VALUE(LEFT(H6,2)))))=IF(B6="",9999999999,DATE(VALUE(RIGHT(LEFT(B6,10),4)),VALUE(MID(B6,4,2)),VALUE(LEFT(B6,2)))),$B$1,IF(MIN(IF(B6="",9999999999,DATE(VALUE(RIGHT(LEFT(B6,10),4)),VALUE(MID(B6,4,2)),VALUE(LEFT(B6,2)))),IF(D6="",9999999999,DATE(VALUE(RIGHT(LEFT(D6,10),4)),VALUE(MID(D6,4,2)),VALUE(LEFT(D6,2)))),IF(F6="",9999999999,DATE(VALUE(RIGHT(LEFT(F6,10),4)),VALUE(MID(F6,4,2)),VALUE(LEFT(F6,2)))),IF(H6="",9999999999,DATE(VALUE(RIGHT(LEFT(H6,10),4)),VALUE(MID(H6,4,2)),VALUE(LEFT(H6,2)))))=IF(D6="",9999999999,DATE(VALUE(RIGHT(LEFT(D6,10),4)),VALUE(MID(D6,4,2)),VALUE(LEFT(D6,2)))),$D$1,IF(MIN(IF(B6="",9999999999,DATE(VALUE(RIGHT(LEFT(B6,10),4)),VALUE(MID(B6,4,2)),VALUE(LEFT(B6,2)))),IF(D6="",9999999999,DATE(VALUE(RIGHT(LEFT(D6,10),4)),VALUE(MID(D6,4,2)),VALUE(LEFT(D6,2)))),IF(F6="",9999999999,DATE(VALUE(RIGHT(LEFT(F6,10),4)),VALUE(MID(F6,4,2)),VALUE(LEFT(F6,2)))),IF(H6="",9999999999,DATE(VALUE(RIGHT(LEFT(H6,10),4)),VALUE(MID(H6,4,2)),VALUE(LEFT(H6,2)))))=IF(F6="",9999999999,DATE(VALUE(RIGHT(LEFT(F6,10),4)),VALUE(MID(F6,4,2)),VALUE(LEFT(F6,2)))),$F$1,IF(MIN(IF(B6="",9999999999,DATE(VALUE(RIGHT(LEFT(B6,10),4)),VALUE(MID(B6,4,2)),VALUE(LEFT(B6,2)))),IF(D6="",9999999999,DATE(VALUE(RIGHT(LEFT(D6,10),4)),VALUE(MID(D6,4,2)),VALUE(LEFT(D6,2)))),IF(F6="",9999999999,DATE(VALUE(RIGHT(LEFT(F6,10),4)),VALUE(MID(F6,4,2)),VALUE(LEFT(F6,2)))),IF(H6="",9999999999,DATE(VALUE(RIGHT(LEFT(H6,10),4)),VALUE(MID(H6,4,2)),VALUE(LEFT(H6,2)))))=IF(H6="",9999999999,DATE(VALUE(RIGHT(LEFT(H6,10),4)),VALUE(MID(H6,4,2)),VALUE(LEFT(H6,2)))),$H$1,""))))</f>
        <v/>
      </c>
    </row>
  </sheetData>
  <dataValidations count="1">
    <dataValidation sqref="B2:B6 D2:D6 F2:F6 H2:H6" showDropDown="0" showInputMessage="1" showErrorMessage="1" allowBlank="1" type="list" errorStyle="stop" operator="between">
      <formula1>list!$A$2:$A$7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4" activeCellId="0" sqref="A14"/>
    </sheetView>
  </sheetViews>
  <sheetFormatPr baseColWidth="8" defaultColWidth="9" defaultRowHeight="13.5" customHeight="0" zeroHeight="0" outlineLevelRow="0"/>
  <cols>
    <col width="50.66" customWidth="1" style="19" min="1" max="1"/>
  </cols>
  <sheetData>
    <row r="1" ht="13.5" customHeight="1" s="28">
      <c r="A1" s="36" t="inlineStr">
        <is>
          <t>Activity ID</t>
        </is>
      </c>
    </row>
    <row r="2" ht="13.5" customHeight="1" s="28">
      <c r="A2" s="37" t="inlineStr">
        <is>
          <t>11/05/1999 -WoodWork - Saturn</t>
        </is>
      </c>
    </row>
    <row r="3" ht="13.5" customHeight="1" s="28">
      <c r="A3" s="37" t="inlineStr">
        <is>
          <t>15/08/2004 - Electrical - Venus</t>
        </is>
      </c>
    </row>
    <row r="4" ht="13.5" customHeight="1" s="28">
      <c r="A4" s="37" t="inlineStr">
        <is>
          <t>17/12/2008 - Basket Weaving - Mars</t>
        </is>
      </c>
    </row>
    <row r="5" ht="13.5" customHeight="1" s="28">
      <c r="A5" s="37" t="inlineStr">
        <is>
          <t>24/09/2021 - Plumbing - Venus</t>
        </is>
      </c>
    </row>
    <row r="6" ht="13.5" customHeight="1" s="28">
      <c r="A6" s="37" t="inlineStr">
        <is>
          <t>18/04/2018 - Electrical - Earth</t>
        </is>
      </c>
    </row>
    <row r="7" ht="13.5" customHeight="1" s="28">
      <c r="A7" s="37" t="inlineStr">
        <is>
          <t>16/01/2009 - Plumbing - Pluto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John Damen</dc:creator>
  <dc:language xmlns:dc="http://purl.org/dc/elements/1.1/">en-US</dc:language>
  <dcterms:created xmlns:dcterms="http://purl.org/dc/terms/" xmlns:xsi="http://www.w3.org/2001/XMLSchema-instance" xsi:type="dcterms:W3CDTF">2023-10-24T18:42:00Z</dcterms:created>
  <dcterms:modified xmlns:dcterms="http://purl.org/dc/terms/" xmlns:xsi="http://www.w3.org/2001/XMLSchema-instance" xsi:type="dcterms:W3CDTF">2026-09-05T18:07:54Z</dcterms:modified>
  <cp:lastModifiedBy>。。。</cp:lastModifiedBy>
  <cp:revision>0</cp:revision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7B1F9ECD115742999F13F2444DFB85B6_13</vt:lpwstr>
  </property>
  <property name="KSOProductBuildVer" fmtid="{D5CDD505-2E9C-101B-9397-08002B2CF9AE}" pid="3">
    <vt:lpwstr xmlns:vt="http://schemas.openxmlformats.org/officeDocument/2006/docPropsVTypes">2052-12.1.0.16729</vt:lpwstr>
  </property>
</Properties>
</file>