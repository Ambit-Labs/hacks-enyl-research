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<sst xmlns="http://schemas.openxmlformats.org/spreadsheetml/2006/main" count="17" uniqueCount="16">
  <si>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1st</t>
  </si>
  <si>
    <t xml:space="preserve">2nd</t>
  </si>
  <si>
    <t xml:space="preserve">Occurances</t>
  </si>
  <si>
    <t xml:space="preserve">2nd -&gt;</t>
  </si>
  <si>
    <t xml:space="preserve">a</t>
  </si>
  <si>
    <t xml:space="preserve">b</t>
  </si>
  <si>
    <t xml:space="preserve">c</t>
  </si>
  <si>
    <t xml:space="preserve">x</t>
  </si>
  <si>
    <t xml:space="preserve">w</t>
  </si>
  <si>
    <t xml:space="preserve">y</t>
  </si>
  <si>
    <t xml:space="preserve">z</t>
  </si>
  <si>
    <t xml:space="preserve">aa</t>
  </si>
  <si>
    <t xml:space="preserve">ab</t>
  </si>
  <si>
    <t xml:space="preserve">ac</t>
  </si>
  <si>
    <t xml:space="preserve">ad</t>
  </si>
  <si>
    <t xml:space="preserve">ae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</si>
</sst>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9" defaultRowHeight="13.5" customHeight="false" zeroHeight="false" outlineLevelRow="0" outlineLevelCol="0"/>
  <cols>
    <col collapsed="false" customWidth="true" hidden="false" outlineLevel="0" max="8" min="8" style="1" width="11"/>
  </cols>
  <sheetData>
    <row r="1" customFormat="false" ht="13.5" hidden="false" customHeight="true" outlineLevel="0" collapsed="false">
      <c r="A1" s="1" t="s">
        <v>0</v>
      </c>
      <c r="B1" s="1" t="s">
        <v>1</v>
      </c>
      <c r="G1" s="1" t="s">
        <v>0</v>
      </c>
      <c r="H1" s="1" t="s">
        <v>2</v>
      </c>
      <c r="I1" s="1" t="s">
        <v>3</v>
      </c>
    </row>
    <row r="2" customFormat="false" ht="13.5" hidden="false" customHeight="true" outlineLevel="0" collapsed="false">
      <c r="A2" s="1" t="n">
        <v>1</v>
      </c>
      <c r="B2" s="1" t="s">
        <v>4</v>
      </c>
      <c r="C2" s="1" t="n">
        <v>1</v>
      </c>
      <c r="G2" s="1" t="n">
        <f aca="false" t="array" ref="G2:H5">IF({1,0},_xlfn._xlws.SORT(_xlfn.UNIQUE($A$2:$A$1000)),SUMIFS($C$2:$C$1000,$A$2:$A$1000,_xlfn._xlws.SORT(_xlfn.UNIQUE($A$2:$A$1000))))</f>
        <v>1</v>
      </c>
      <c r="H2" s="1" t="n">
        <v>3</v>
      </c>
      <c r="I2" s="1" t="n">
        <f aca="false">IFERROR(INDEX(_xlfn._xlws.SORT(_xlfn.UNIQUE($A$2:$A$13)),1),"")</f>
        <v>1</v>
      </c>
      <c r="J2" s="1" t="n">
        <f aca="false">IF($I2="","",COUNTIF($A$2:$A$13,$I2))</f>
        <v>3</v>
      </c>
      <c r="K2" s="1" t="str">
        <f aca="false" t="array" ref="K2:K2">IF($I2="","",IFERROR(INDEX($B$2:$B$13,SMALL(IF($A$2:$A$13=$I2,ROW($B$2:$B$13)-ROW($B$2)+1),1)),""))</f>
        <v>a</v>
      </c>
      <c r="L2" s="1" t="str">
        <f aca="false" t="array" ref="L2:L2">IF($I2="","",IFERROR(INDEX($B$2:$B$13,SMALL(IF($A$2:$A$13=$I2,ROW($B$2:$B$13)-ROW($B$2)+1),2)),""))</f>
        <v>b</v>
      </c>
      <c r="M2" s="1" t="str">
        <f aca="false" t="array" ref="M2:M2">IF($I2="","",IFERROR(INDEX($B$2:$B$13,SMALL(IF($A$2:$A$13=$I2,ROW($B$2:$B$13)-ROW($B$2)+1),3)),""))</f>
        <v>c</v>
      </c>
      <c r="N2" s="1" t="str">
        <f aca="false" t="array" ref="N2:N2">IF($I2="","",IFERROR(INDEX($B$2:$B$13,SMALL(IF($A$2:$A$13=$I2,ROW($B$2:$B$13)-ROW($B$2)+1),4)),""))</f>
        <v/>
      </c>
      <c r="O2" s="1" t="str">
        <f aca="false" t="array" ref="O2:O2">IF($I2="","",IFERROR(INDEX($B$2:$B$13,SMALL(IF($A$2:$A$13=$I2,ROW($B$2:$B$13)-ROW($B$2)+1),5)),""))</f>
        <v/>
      </c>
    </row>
    <row r="3" customFormat="false" ht="13.5" hidden="false" customHeight="true" outlineLevel="0" collapsed="false">
      <c r="A3" s="1" t="n">
        <v>1</v>
      </c>
      <c r="B3" s="1" t="s">
        <v>5</v>
      </c>
      <c r="C3" s="1" t="n">
        <v>1</v>
      </c>
      <c r="G3" s="1" t="n">
        <v>2</v>
      </c>
      <c r="H3" s="1" t="n">
        <v>4</v>
      </c>
      <c r="I3" s="1" t="n">
        <f aca="false">IFERROR(INDEX(_xlfn._xlws.SORT(_xlfn.UNIQUE($A$2:$A$13)),2),"")</f>
        <v>2</v>
      </c>
      <c r="J3" s="1" t="n">
        <f aca="false">IF($I3="","",COUNTIF($A$2:$A$13,$I3))</f>
        <v>4</v>
      </c>
      <c r="K3" s="1" t="str">
        <f aca="false" t="array" ref="K3:K3">IF($I3="","",IFERROR(INDEX($B$2:$B$13,SMALL(IF($A$2:$A$13=$I3,ROW($B$2:$B$13)-ROW($B$2)+1),1)),""))</f>
        <v>x</v>
      </c>
      <c r="L3" s="1" t="str">
        <f aca="false" t="array" ref="L3:L3">IF($I3="","",IFERROR(INDEX($B$2:$B$13,SMALL(IF($A$2:$A$13=$I3,ROW($B$2:$B$13)-ROW($B$2)+1),2)),""))</f>
        <v>w</v>
      </c>
      <c r="M3" s="1" t="str">
        <f aca="false" t="array" ref="M3:M3">IF($I3="","",IFERROR(INDEX($B$2:$B$13,SMALL(IF($A$2:$A$13=$I3,ROW($B$2:$B$13)-ROW($B$2)+1),3)),""))</f>
        <v>y</v>
      </c>
      <c r="N3" s="1" t="str">
        <f aca="false" t="array" ref="N3:N3">IF($I3="","",IFERROR(INDEX($B$2:$B$13,SMALL(IF($A$2:$A$13=$I3,ROW($B$2:$B$13)-ROW($B$2)+1),4)),""))</f>
        <v>z</v>
      </c>
      <c r="O3" s="1" t="str">
        <f aca="false" t="array" ref="O3:O3">IF($I3="","",IFERROR(INDEX($B$2:$B$13,SMALL(IF($A$2:$A$13=$I3,ROW($B$2:$B$13)-ROW($B$2)+1),5)),""))</f>
        <v/>
      </c>
    </row>
    <row r="4" customFormat="false" ht="13.5" hidden="false" customHeight="true" outlineLevel="0" collapsed="false">
      <c r="A4" s="1" t="n">
        <v>1</v>
      </c>
      <c r="B4" s="1" t="s">
        <v>6</v>
      </c>
      <c r="C4" s="1" t="n">
        <v>1</v>
      </c>
      <c r="G4" s="1" t="n">
        <v>3</v>
      </c>
      <c r="H4" s="1" t="n">
        <v>5</v>
      </c>
      <c r="I4" s="1" t="n">
        <f aca="false">IFERROR(INDEX(_xlfn._xlws.SORT(_xlfn.UNIQUE($A$2:$A$13)),3),"")</f>
        <v>3</v>
      </c>
      <c r="J4" s="1" t="n">
        <f aca="false">IF($I4="","",COUNTIF($A$2:$A$13,$I4))</f>
        <v>5</v>
      </c>
      <c r="K4" s="1" t="str">
        <f aca="false" t="array" ref="K4:K4">IF($I4="","",IFERROR(INDEX($B$2:$B$13,SMALL(IF($A$2:$A$13=$I4,ROW($B$2:$B$13)-ROW($B$2)+1),1)),""))</f>
        <v>aa</v>
      </c>
      <c r="L4" s="1" t="str">
        <f aca="false" t="array" ref="L4:L4">IF($I4="","",IFERROR(INDEX($B$2:$B$13,SMALL(IF($A$2:$A$13=$I4,ROW($B$2:$B$13)-ROW($B$2)+1),2)),""))</f>
        <v>ab</v>
      </c>
      <c r="M4" s="1" t="str">
        <f aca="false" t="array" ref="M4:M4">IF($I4="","",IFERROR(INDEX($B$2:$B$13,SMALL(IF($A$2:$A$13=$I4,ROW($B$2:$B$13)-ROW($B$2)+1),3)),""))</f>
        <v>ac</v>
      </c>
      <c r="N4" s="1" t="str">
        <f aca="false" t="array" ref="N4:N4">IF($I4="","",IFERROR(INDEX($B$2:$B$13,SMALL(IF($A$2:$A$13=$I4,ROW($B$2:$B$13)-ROW($B$2)+1),4)),""))</f>
        <v>ad</v>
      </c>
      <c r="O4" s="1" t="str">
        <f aca="false" t="array" ref="O4:O4">IF($I4="","",IFERROR(INDEX($B$2:$B$13,SMALL(IF($A$2:$A$13=$I4,ROW($B$2:$B$13)-ROW($B$2)+1),5)),""))</f>
        <v>ae</v>
      </c>
    </row>
    <row r="5" customFormat="false" ht="13.5" hidden="false" customHeight="true" outlineLevel="0" collapsed="false">
      <c r="A5" s="1" t="n">
        <v>2</v>
      </c>
      <c r="B5" s="1" t="s">
        <v>7</v>
      </c>
      <c r="C5" s="1" t="n">
        <v>1</v>
      </c>
      <c r="G5" s="1" t="n">
        <v>0</v>
      </c>
      <c r="H5" s="1" t="n">
        <v>0</v>
      </c>
      <c r="I5" s="1" t="str">
        <f aca="false">IFERROR(INDEX(_xlfn._xlws.SORT(_xlfn.UNIQUE($A$2:$A$13)),4),"")</f>
        <v/>
      </c>
      <c r="J5" s="1" t="str">
        <f aca="false">IF($I5="","",COUNTIF($A$2:$A$13,$I5))</f>
        <v/>
      </c>
      <c r="K5" s="1" t="str">
        <f aca="false" t="array" ref="K5:K5">IF($I5="","",IFERROR(INDEX($B$2:$B$13,SMALL(IF($A$2:$A$13=$I5,ROW($B$2:$B$13)-ROW($B$2)+1),1)),""))</f>
        <v/>
      </c>
      <c r="L5" s="1" t="str">
        <f aca="false" t="array" ref="L5:L5">IF($I5="","",IFERROR(INDEX($B$2:$B$13,SMALL(IF($A$2:$A$13=$I5,ROW($B$2:$B$13)-ROW($B$2)+1),2)),""))</f>
        <v/>
      </c>
      <c r="M5" s="1" t="str">
        <f aca="false" t="array" ref="M5:M5">IF($I5="","",IFERROR(INDEX($B$2:$B$13,SMALL(IF($A$2:$A$13=$I5,ROW($B$2:$B$13)-ROW($B$2)+1),3)),""))</f>
        <v/>
      </c>
      <c r="N5" s="1" t="str">
        <f aca="false" t="array" ref="N5:N5">IF($I5="","",IFERROR(INDEX($B$2:$B$13,SMALL(IF($A$2:$A$13=$I5,ROW($B$2:$B$13)-ROW($B$2)+1),4)),""))</f>
        <v/>
      </c>
      <c r="O5" s="1" t="str">
        <f aca="false" t="array" ref="O5:O5">IF($I5="","",IFERROR(INDEX($B$2:$B$13,SMALL(IF($A$2:$A$13=$I5,ROW($B$2:$B$13)-ROW($B$2)+1),5)),""))</f>
        <v/>
      </c>
    </row>
    <row r="6" customFormat="false" ht="13.5" hidden="false" customHeight="true" outlineLevel="0" collapsed="false">
      <c r="A6" s="1" t="n">
        <v>2</v>
      </c>
      <c r="B6" s="1" t="s">
        <v>8</v>
      </c>
      <c r="C6" s="1" t="n">
        <v>1</v>
      </c>
    </row>
    <row r="7" customFormat="false" ht="13.5" hidden="false" customHeight="true" outlineLevel="0" collapsed="false">
      <c r="A7" s="1" t="n">
        <v>2</v>
      </c>
      <c r="B7" s="1" t="s">
        <v>9</v>
      </c>
      <c r="C7" s="1" t="n">
        <v>1</v>
      </c>
    </row>
    <row r="8" customFormat="false" ht="13.5" hidden="false" customHeight="true" outlineLevel="0" collapsed="false">
      <c r="A8" s="1" t="n">
        <v>2</v>
      </c>
      <c r="B8" s="1" t="s">
        <v>10</v>
      </c>
      <c r="C8" s="1" t="n">
        <v>1</v>
      </c>
    </row>
    <row r="9" customFormat="false" ht="13.5" hidden="false" customHeight="true" outlineLevel="0" collapsed="false">
      <c r="A9" s="1" t="n">
        <v>3</v>
      </c>
      <c r="B9" s="1" t="s">
        <v>11</v>
      </c>
      <c r="C9" s="1" t="n">
        <v>1</v>
      </c>
    </row>
    <row r="10" customFormat="false" ht="13.5" hidden="false" customHeight="true" outlineLevel="0" collapsed="false">
      <c r="A10" s="1" t="n">
        <v>3</v>
      </c>
      <c r="B10" s="1" t="s">
        <v>12</v>
      </c>
      <c r="C10" s="1" t="n">
        <v>1</v>
      </c>
    </row>
    <row r="11" customFormat="false" ht="13.5" hidden="false" customHeight="true" outlineLevel="0" collapsed="false">
      <c r="A11" s="1" t="n">
        <v>3</v>
      </c>
      <c r="B11" s="1" t="s">
        <v>13</v>
      </c>
      <c r="C11" s="1" t="n">
        <v>1</v>
      </c>
    </row>
    <row r="12" customFormat="false" ht="13.5" hidden="false" customHeight="true" outlineLevel="0" collapsed="false">
      <c r="A12" s="1" t="n">
        <v>3</v>
      </c>
      <c r="B12" s="1" t="s">
        <v>14</v>
      </c>
      <c r="C12" s="1" t="n">
        <v>1</v>
      </c>
    </row>
    <row r="13" customFormat="false" ht="13.5" hidden="false" customHeight="true" outlineLevel="0" collapsed="false">
      <c r="A13" s="1" t="n">
        <v>3</v>
      </c>
      <c r="B13" s="1" t="s">
        <v>15</v>
      </c>
      <c r="C13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2020-11-09T12:37:00Z</dcterms:created>
  <dc:creator>Neil Johnson</dc:creator>
  <dc:description/>
  <dc:language>en-US</dc:language>
  <cp:lastModifiedBy>86180</cp:lastModifiedBy>
  <dcterms:modified xsi:type="dcterms:W3CDTF">2026-09-05T18:18:01Z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1BEBE71F3E9B4CB19BB50718AD5E6C5B_13</vt:lpwstr>
  </property>
  <property fmtid="{D5CDD505-2E9C-101B-9397-08002B2CF9AE}" pid="3" name="KSOProductBuildVer">
    <vt:lpwstr>2052-12.1.0.16729</vt:lpwstr>
  </property>
</Properties>
</file>