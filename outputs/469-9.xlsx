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<sst xmlns="http://schemas.openxmlformats.org/spreadsheetml/2006/main" count="27" uniqueCount="26">
  <si>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Date</t>
  </si>
  <si>
    <t xml:space="preserve">SERVICE FEE</t>
  </si>
  <si>
    <t xml:space="preserve">Amount</t>
  </si>
  <si>
    <t xml:space="preserve">DESCRIPTION</t>
  </si>
  <si>
    <t xml:space="preserve">REFERENCE</t>
  </si>
  <si>
    <t xml:space="preserve">Balance</t>
  </si>
  <si>
    <t xml:space="preserve">CHEQUE NUMBER</t>
  </si>
  <si>
    <t xml:space="preserve">Debits</t>
  </si>
  <si>
    <t xml:space="preserve">Credits</t>
  </si>
  <si>
    <t xml:space="preserve"> UWE PMT            </t>
  </si>
  <si>
    <t xml:space="preserve">UWE               </t>
  </si>
  <si>
    <t xml:space="preserve"> UWE PMT            LLQW - INV 101</t>
  </si>
  <si>
    <t xml:space="preserve">VEL - INV 9998</t>
  </si>
  <si>
    <t xml:space="preserve">TRE</t>
  </si>
  <si>
    <t xml:space="preserve">RVICE F</t>
  </si>
  <si>
    <t xml:space="preserve">                  </t>
  </si>
  <si>
    <t xml:space="preserve"> UWE PMT            BWQSTPRO - 1 BO</t>
  </si>
  <si>
    <t xml:space="preserve">ESTPRO - 1 BOWLS  </t>
  </si>
  <si>
    <t xml:space="preserve">SEFQW</t>
  </si>
  <si>
    <t xml:space="preserve">DESEF</t>
  </si>
  <si>
    <t xml:space="preserve"> UWE PMT            MTRVO</t>
  </si>
  <si>
    <t xml:space="preserve">VYRE  </t>
  </si>
  <si>
    <t xml:space="preserve"> UWE UWE00900 BCEINAS-P</t>
  </si>
  <si>
    <t xml:space="preserve">INAS-PTR      </t>
  </si>
  <si>
    <t xml:space="preserve"> UWE UWE00874 BCEINAS-P</t>
  </si>
  <si>
    <t xml:space="preserve">INAS-PRTR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</si>
</sst>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4" min="4" style="0" width="24.57"/>
    <col collapsed="false" customWidth="true" hidden="false" outlineLevel="0" max="5" min="5" style="0" width="18.14"/>
    <col collapsed="false" customWidth="true" hidden="false" outlineLevel="0" max="7" min="7" style="0" width="16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n">
        <v>44287</v>
      </c>
      <c r="B2" s="0" t="n">
        <v>0</v>
      </c>
      <c r="C2" s="0" t="n">
        <v>4543.19</v>
      </c>
      <c r="D2" s="0" t="s">
        <v>9</v>
      </c>
      <c r="E2" s="0" t="s">
        <v>10</v>
      </c>
      <c r="F2" s="0" t="n">
        <v>139001.592</v>
      </c>
      <c r="G2" s="0" t="n">
        <v>0</v>
      </c>
      <c r="H2" s="0" t="n">
        <f aca="false">IF(C2&gt;0,C2,"")</f>
        <v>4543.19</v>
      </c>
      <c r="I2" s="0" t="str">
        <f aca="false">IF(C2&lt;0,ABS(C2),"")</f>
        <v/>
      </c>
    </row>
    <row r="3" customFormat="false" ht="15" hidden="false" customHeight="false" outlineLevel="0" collapsed="false">
      <c r="A3" s="1" t="n">
        <v>44287</v>
      </c>
      <c r="B3" s="0" t="n">
        <v>0</v>
      </c>
      <c r="C3" s="0" t="n">
        <v>28723.2433333333</v>
      </c>
      <c r="D3" s="0" t="s">
        <v>11</v>
      </c>
      <c r="E3" s="0" t="s">
        <v>12</v>
      </c>
      <c r="F3" s="0" t="n">
        <v>134458.402</v>
      </c>
      <c r="G3" s="0" t="n">
        <v>0</v>
      </c>
      <c r="H3" s="0" t="n">
        <f aca="false">IF(C3&gt;0,C3,"")</f>
        <v>28723.2433333333</v>
      </c>
      <c r="I3" s="0" t="str">
        <f aca="false">IF(C3&lt;0,ABS(C3),"")</f>
        <v/>
      </c>
    </row>
    <row r="4" customFormat="false" ht="15" hidden="false" customHeight="false" outlineLevel="0" collapsed="false">
      <c r="A4" s="1" t="n">
        <v>44287</v>
      </c>
      <c r="B4" s="0" t="n">
        <v>0</v>
      </c>
      <c r="C4" s="0" t="n">
        <v>21846.3966666667</v>
      </c>
      <c r="D4" s="0" t="s">
        <v>9</v>
      </c>
      <c r="E4" s="0" t="s">
        <v>13</v>
      </c>
      <c r="F4" s="0" t="n">
        <v>105735.158666667</v>
      </c>
      <c r="G4" s="0" t="n">
        <v>0</v>
      </c>
      <c r="H4" s="0" t="n">
        <f aca="false">IF(C4&gt;0,C4,"")</f>
        <v>21846.3966666667</v>
      </c>
      <c r="I4" s="0" t="str">
        <f aca="false">IF(C4&lt;0,ABS(C4),"")</f>
        <v/>
      </c>
    </row>
    <row r="5" customFormat="false" ht="15" hidden="false" customHeight="false" outlineLevel="0" collapsed="false">
      <c r="A5" s="1" t="n">
        <v>44286</v>
      </c>
      <c r="B5" s="0" t="n">
        <v>0</v>
      </c>
      <c r="C5" s="0" t="n">
        <v>-6.93333333333333</v>
      </c>
      <c r="D5" s="0" t="s">
        <v>14</v>
      </c>
      <c r="E5" s="0" t="s">
        <v>15</v>
      </c>
      <c r="F5" s="0" t="n">
        <v>83888.762</v>
      </c>
      <c r="G5" s="0" t="n">
        <v>0</v>
      </c>
      <c r="H5" s="0" t="str">
        <f aca="false">IF(C5&gt;0,C5,"")</f>
        <v/>
      </c>
      <c r="I5" s="0" t="n">
        <f aca="false">IF(C5&lt;0,ABS(C5),"")</f>
        <v>6.93333333333333</v>
      </c>
    </row>
    <row r="6" customFormat="false" ht="15" hidden="false" customHeight="false" outlineLevel="0" collapsed="false">
      <c r="A6" s="1" t="n">
        <v>44286</v>
      </c>
      <c r="B6" s="0" t="n">
        <v>0</v>
      </c>
      <c r="C6" s="0" t="n">
        <v>3535.258</v>
      </c>
      <c r="D6" s="0" t="s">
        <v>16</v>
      </c>
      <c r="E6" s="0" t="s">
        <v>17</v>
      </c>
      <c r="F6" s="0" t="n">
        <v>83895.6953333333</v>
      </c>
      <c r="G6" s="0" t="n">
        <v>0</v>
      </c>
      <c r="H6" s="0" t="n">
        <f aca="false">IF(C6&gt;0,C6,"")</f>
        <v>3535.258</v>
      </c>
      <c r="I6" s="0" t="str">
        <f aca="false">IF(C6&lt;0,ABS(C6),"")</f>
        <v/>
      </c>
    </row>
    <row r="7" customFormat="false" ht="15" hidden="false" customHeight="false" outlineLevel="0" collapsed="false">
      <c r="A7" s="1" t="n">
        <v>44286</v>
      </c>
      <c r="B7" s="0" t="n">
        <v>0</v>
      </c>
      <c r="C7" s="0" t="n">
        <v>-18867.3913333333</v>
      </c>
      <c r="D7" s="0" t="s">
        <v>18</v>
      </c>
      <c r="E7" s="0" t="s">
        <v>19</v>
      </c>
      <c r="F7" s="0" t="n">
        <v>80360.4373333333</v>
      </c>
      <c r="G7" s="0" t="n">
        <v>0</v>
      </c>
      <c r="H7" s="0" t="str">
        <f aca="false">IF(C7&gt;0,C7,"")</f>
        <v/>
      </c>
      <c r="I7" s="0" t="n">
        <f aca="false">IF(C7&lt;0,ABS(C7),"")</f>
        <v>18867.3913333333</v>
      </c>
    </row>
    <row r="8" customFormat="false" ht="15" hidden="false" customHeight="false" outlineLevel="0" collapsed="false">
      <c r="A8" s="1" t="n">
        <v>44286</v>
      </c>
      <c r="B8" s="0" t="n">
        <v>0</v>
      </c>
      <c r="C8" s="0" t="n">
        <v>866.266666666667</v>
      </c>
      <c r="D8" s="0" t="s">
        <v>20</v>
      </c>
      <c r="E8" s="0" t="s">
        <v>21</v>
      </c>
      <c r="F8" s="0" t="n">
        <v>99227.8286666667</v>
      </c>
      <c r="G8" s="0" t="n">
        <v>0</v>
      </c>
      <c r="H8" s="0" t="n">
        <f aca="false">IF(C8&gt;0,C8,"")</f>
        <v>866.266666666667</v>
      </c>
      <c r="I8" s="0" t="str">
        <f aca="false">IF(C8&lt;0,ABS(C8),"")</f>
        <v/>
      </c>
    </row>
    <row r="9" customFormat="false" ht="15" hidden="false" customHeight="false" outlineLevel="0" collapsed="false">
      <c r="A9" s="1" t="n">
        <v>44286</v>
      </c>
      <c r="B9" s="0" t="n">
        <v>0</v>
      </c>
      <c r="C9" s="0" t="n">
        <v>-11314.198</v>
      </c>
      <c r="D9" s="0" t="s">
        <v>22</v>
      </c>
      <c r="E9" s="0" t="s">
        <v>23</v>
      </c>
      <c r="F9" s="0" t="n">
        <v>98361.562</v>
      </c>
      <c r="G9" s="0" t="n">
        <v>0</v>
      </c>
      <c r="H9" s="0" t="str">
        <f aca="false">IF(C9&gt;0,C9,"")</f>
        <v/>
      </c>
      <c r="I9" s="0" t="n">
        <f aca="false">IF(C9&lt;0,ABS(C9),"")</f>
        <v>11314.198</v>
      </c>
    </row>
    <row r="10" customFormat="false" ht="15" hidden="false" customHeight="false" outlineLevel="0" collapsed="false">
      <c r="A10" s="1" t="n">
        <v>44286</v>
      </c>
      <c r="B10" s="0" t="n">
        <v>0</v>
      </c>
      <c r="C10" s="0" t="n">
        <v>-54666.1246666667</v>
      </c>
      <c r="D10" s="0" t="s">
        <v>24</v>
      </c>
      <c r="E10" s="0" t="s">
        <v>25</v>
      </c>
      <c r="F10" s="0" t="n">
        <v>109675.76</v>
      </c>
      <c r="G10" s="0" t="n">
        <v>0</v>
      </c>
      <c r="H10" s="0" t="str">
        <f aca="false">IF(C10&gt;0,C10,"")</f>
        <v/>
      </c>
      <c r="I10" s="0" t="n">
        <f aca="false">IF(C10&lt;0,ABS(C10),"")</f>
        <v>54666.1246666667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2021-04-02T06:26:58Z</dcterms:created>
  <dc:creator>Windows User</dc:creator>
  <dc:description/>
  <dc:language>en-US</dc:language>
  <cp:lastModifiedBy>Windows User</cp:lastModifiedBy>
  <dcterms:modified xsi:type="dcterms:W3CDTF">2026-09-05T17:34:29Z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