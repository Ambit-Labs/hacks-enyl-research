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R " sheetId="1" state="visible" r:id="rId3"/>
  </sheets>
  <externalReferences>
    <externalReference r:id="rId4"/>
  </externalReferences>
  <definedNames>
    <definedName function="false" hidden="true" localSheetId="0" name="_xlnm._FilterDatabase" vbProcedure="false">'HR '!$A$2:$GT$25</definedName>
    <definedName function="false" hidden="false" name="June2020_Holiday_Payment" vbProcedure="false">'HR '!$EH$3:$EH$20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tc={4EBD0359-5A7F-4C71-A28B-0477830EAFA2}</author>
    <author>tc={6C890EFB-3E1F-44E1-9E06-21ECA89AA8FC}</author>
  </authors>
  <commentList>
    <comment ref="Z3" authorId="0">
      <text>
        <r>
          <rPr>
            <sz val="10"/>
            <rFont val="DejaVu Sans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Accidentally missed in July pay. Will be paid in August (June-August)</t>
        </r>
      </text>
    </comment>
    <comment ref="AP3" authorId="1">
      <text>
        <r>
          <rPr>
            <sz val="10"/>
            <rFont val="DejaVu Sans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Accrual</t>
        </r>
      </text>
    </comment>
  </commentList>
</comments>
</file>

<file path=xl/sharedStrings.xml><?xml version="1.0" encoding="utf-8"?>
<sst xmlns="http://schemas.openxmlformats.org/spreadsheetml/2006/main" count="492" uniqueCount="49">
  <si>
    <t xml:space="preserve">Accruals only</t>
  </si>
  <si>
    <t xml:space="preserve">Vetter ID</t>
  </si>
  <si>
    <t xml:space="preserve">Vetter Name</t>
  </si>
  <si>
    <t xml:space="preserve">Month</t>
  </si>
  <si>
    <t xml:space="preserve">Holiday Payment</t>
  </si>
  <si>
    <t xml:space="preserve">Total</t>
  </si>
  <si>
    <t xml:space="preserve">Holiday + Total</t>
  </si>
  <si>
    <t xml:space="preserve">Paid last month</t>
  </si>
  <si>
    <t xml:space="preserve">HR to pay?</t>
  </si>
  <si>
    <t xml:space="preserve">Total to pay</t>
  </si>
  <si>
    <t xml:space="preserve">Notes</t>
  </si>
  <si>
    <t xml:space="preserve">Paid last month?</t>
  </si>
  <si>
    <t xml:space="preserve">What to do?</t>
  </si>
  <si>
    <t xml:space="preserve">Test</t>
  </si>
  <si>
    <t xml:space="preserve">N/A</t>
  </si>
  <si>
    <t xml:space="preserve">Yes</t>
  </si>
  <si>
    <t xml:space="preserve">Month 1</t>
  </si>
  <si>
    <t xml:space="preserve">No</t>
  </si>
  <si>
    <t xml:space="preserve">June + July </t>
  </si>
  <si>
    <t xml:space="preserve">June - August</t>
  </si>
  <si>
    <t xml:space="preserve">Month 2</t>
  </si>
  <si>
    <t xml:space="preserve">Sep-Nov</t>
  </si>
  <si>
    <t xml:space="preserve">Dec-Feb</t>
  </si>
  <si>
    <t xml:space="preserve">Month 3</t>
  </si>
  <si>
    <t xml:space="preserve">March + April</t>
  </si>
  <si>
    <t xml:space="preserve">Tst</t>
  </si>
  <si>
    <t xml:space="preserve">£10 jan translation</t>
  </si>
  <si>
    <t xml:space="preserve">Atsuko Kodera</t>
  </si>
  <si>
    <t xml:space="preserve">May-July</t>
  </si>
  <si>
    <t xml:space="preserve">Aug - Oct</t>
  </si>
  <si>
    <t xml:space="preserve">Nov-Jan</t>
  </si>
  <si>
    <t xml:space="preserve">Month 2 </t>
  </si>
  <si>
    <t xml:space="preserve">Month 6</t>
  </si>
  <si>
    <t xml:space="preserve">Nov to April</t>
  </si>
  <si>
    <t xml:space="preserve">Bartlomiej Nowak</t>
  </si>
  <si>
    <t xml:space="preserve">Jan-Feb</t>
  </si>
  <si>
    <t xml:space="preserve">Was paid June Amount!</t>
  </si>
  <si>
    <t xml:space="preserve">Mahamud Ismail</t>
  </si>
  <si>
    <t xml:space="preserve">Month 3 - pay next month</t>
  </si>
  <si>
    <t xml:space="preserve">Month 4</t>
  </si>
  <si>
    <t xml:space="preserve">Michaela Pantera</t>
  </si>
  <si>
    <t xml:space="preserve">Phoebe Todhunter</t>
  </si>
  <si>
    <t xml:space="preserve">Feb + March + April</t>
  </si>
  <si>
    <t xml:space="preserve">Final pay</t>
  </si>
  <si>
    <t xml:space="preserve">June</t>
  </si>
  <si>
    <t xml:space="preserve">Hara</t>
  </si>
  <si>
    <t xml:space="preserve">Actual pay:</t>
  </si>
  <si>
    <t xml:space="preserve">August (for July work)</t>
  </si>
  <si>
    <t xml:space="preserve">September (for August work)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</si>
</sst>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-yy"/>
    <numFmt numFmtId="166" formatCode="\£#,##0.00"/>
    <numFmt numFmtId="167" formatCode="#,##0.00_ ;[RED]\-#,##0.00\ "/>
  </numFmts>
  <fonts count="13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1"/>
      <color theme="1"/>
      <name val="等线"/>
      <family val="0"/>
      <charset val="134"/>
    </font>
    <font>
      <sz val="10"/>
      <name val="Arial"/>
      <family val="0"/>
      <charset val="134"/>
    </font>
    <font>
      <sz val="11"/>
      <color rgb="FFFF0000"/>
      <name val="等线"/>
      <family val="0"/>
      <charset val="134"/>
    </font>
    <font>
      <sz val="11"/>
      <name val="等线"/>
      <family val="0"/>
      <charset val="134"/>
    </font>
    <font>
      <b val="true"/>
      <sz val="11"/>
      <name val="等线"/>
      <family val="0"/>
      <charset val="134"/>
    </font>
    <font>
      <sz val="11"/>
      <color rgb="FF000000"/>
      <name val="等线"/>
      <family val="0"/>
      <charset val="134"/>
    </font>
    <font>
      <sz val="10"/>
      <name val="DejaVu Sans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00"/>
        <bgColor rgb="FFFFFF00"/>
      </patternFill>
    </fill>
    <fill>
      <patternFill patternType="solid">
        <fgColor rgb="FF449DFE"/>
        <bgColor rgb="FF3366FF"/>
      </patternFill>
    </fill>
    <fill>
      <patternFill patternType="solid">
        <fgColor rgb="FFF79646"/>
        <bgColor rgb="FFED7D31"/>
      </patternFill>
    </fill>
    <fill>
      <patternFill patternType="solid">
        <fgColor rgb="FFB7E1CD"/>
        <bgColor rgb="FFCCCCFF"/>
      </patternFill>
    </fill>
    <fill>
      <patternFill patternType="solid">
        <fgColor theme="0"/>
        <bgColor rgb="FFFFFFCC"/>
      </patternFill>
    </fill>
    <fill>
      <patternFill patternType="solid">
        <fgColor rgb="FFFF0000"/>
        <bgColor rgb="FF9933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4" borderId="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3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6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7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7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7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4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4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8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7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7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9DFE"/>
          <bgColor rgb="FF000000"/>
        </patternFill>
      </fill>
    </dxf>
    <dxf>
      <fill>
        <patternFill patternType="solid">
          <fgColor rgb="FF14B73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79646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</font>
    </dxf>
    <dxf>
      <font>
        <b val="1"/>
        <color rgb="FF000000"/>
      </font>
      <fill>
        <patternFill>
          <bgColor rgb="FF14B733"/>
        </patternFill>
      </fill>
    </dxf>
    <dxf>
      <font>
        <b val="1"/>
        <color rgb="FF000000"/>
      </font>
      <fill>
        <patternFill>
          <bgColor rgb="FFFF0000"/>
        </patternFill>
      </fill>
    </dxf>
    <dxf>
      <font>
        <b val="1"/>
        <color rgb="FF000000"/>
      </font>
      <fill>
        <patternFill>
          <bgColor theme="0"/>
        </patternFill>
      </fill>
    </dxf>
    <dxf>
      <fill>
        <patternFill>
          <bgColor theme="0"/>
        </patternFill>
      </fill>
    </dxf>
    <dxf>
      <font>
        <b val="1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449DFE"/>
      <rgbColor rgb="FF99CC00"/>
      <rgbColor rgb="FFFFCC00"/>
      <rgbColor rgb="FFF79646"/>
      <rgbColor rgb="FFED7D31"/>
      <rgbColor rgb="FF666699"/>
      <rgbColor rgb="FF969696"/>
      <rgbColor rgb="FF003366"/>
      <rgbColor rgb="FF14B7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Users/&#35874;&#33993;/Downloads/040521_EH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R "/>
      <sheetName val="May 2021"/>
      <sheetName val="May 2021 pay"/>
      <sheetName val="February 2021 pay"/>
      <sheetName val="March 2021 pay"/>
    </sheetNames>
    <sheetDataSet>
      <sheetData sheetId="0"/>
      <sheetData sheetId="1">
        <row r="2">
          <cell r="A2">
            <v>625</v>
          </cell>
        </row>
        <row r="2">
          <cell r="L2">
            <v>11.55019338</v>
          </cell>
          <cell r="M2">
            <v>95.6934</v>
          </cell>
          <cell r="N2">
            <v>107.24359338</v>
          </cell>
        </row>
        <row r="3">
          <cell r="A3">
            <v>796</v>
          </cell>
        </row>
        <row r="3">
          <cell r="L3">
            <v>69.78510693</v>
          </cell>
          <cell r="M3">
            <v>578.1699</v>
          </cell>
          <cell r="N3">
            <v>647.95500693</v>
          </cell>
        </row>
        <row r="4">
          <cell r="A4">
            <v>840</v>
          </cell>
        </row>
        <row r="4">
          <cell r="L4">
            <v>0.30112236</v>
          </cell>
          <cell r="M4">
            <v>2.4948</v>
          </cell>
          <cell r="N4">
            <v>2.79592236</v>
          </cell>
        </row>
        <row r="5">
          <cell r="A5">
            <v>901</v>
          </cell>
        </row>
        <row r="5">
          <cell r="L5">
            <v>2.63482065</v>
          </cell>
          <cell r="M5">
            <v>41.8795</v>
          </cell>
          <cell r="N5">
            <v>44.51432065</v>
          </cell>
        </row>
        <row r="6">
          <cell r="A6">
            <v>397</v>
          </cell>
        </row>
        <row r="6">
          <cell r="L6">
            <v>46.6739658</v>
          </cell>
          <cell r="M6">
            <v>396.694</v>
          </cell>
          <cell r="N6">
            <v>443.3679658</v>
          </cell>
        </row>
        <row r="7">
          <cell r="A7">
            <v>732</v>
          </cell>
        </row>
        <row r="7">
          <cell r="L7">
            <v>59.9018409</v>
          </cell>
          <cell r="M7">
            <v>496.287</v>
          </cell>
          <cell r="N7">
            <v>556.1888409</v>
          </cell>
        </row>
        <row r="8">
          <cell r="A8">
            <v>899</v>
          </cell>
        </row>
        <row r="8">
          <cell r="L8">
            <v>19.98161946</v>
          </cell>
          <cell r="M8">
            <v>165.5478</v>
          </cell>
          <cell r="N8">
            <v>185.52941946</v>
          </cell>
        </row>
        <row r="9">
          <cell r="A9">
            <v>671</v>
          </cell>
        </row>
        <row r="9">
          <cell r="L9">
            <v>29.07663</v>
          </cell>
          <cell r="M9">
            <v>240.9</v>
          </cell>
          <cell r="N9">
            <v>269.97663</v>
          </cell>
        </row>
        <row r="10">
          <cell r="A10">
            <v>556</v>
          </cell>
        </row>
        <row r="10">
          <cell r="L10">
            <v>15.78741516</v>
          </cell>
          <cell r="M10">
            <v>130.7988</v>
          </cell>
          <cell r="N10">
            <v>146.58621516</v>
          </cell>
        </row>
        <row r="11">
          <cell r="A11">
            <v>817</v>
          </cell>
        </row>
        <row r="11">
          <cell r="L11">
            <v>45.46947636</v>
          </cell>
          <cell r="M11">
            <v>376.7148</v>
          </cell>
          <cell r="N11">
            <v>422.18427636</v>
          </cell>
        </row>
        <row r="12">
          <cell r="A12">
            <v>897</v>
          </cell>
        </row>
        <row r="12">
          <cell r="L12">
            <v>0.29036799</v>
          </cell>
          <cell r="M12">
            <v>2.4057</v>
          </cell>
          <cell r="N12">
            <v>2.69606799</v>
          </cell>
        </row>
        <row r="13">
          <cell r="A13">
            <v>753</v>
          </cell>
        </row>
        <row r="13">
          <cell r="L13">
            <v>1.27977003</v>
          </cell>
          <cell r="M13">
            <v>10.6029</v>
          </cell>
          <cell r="N13">
            <v>11.88267003</v>
          </cell>
        </row>
        <row r="14">
          <cell r="A14">
            <v>900</v>
          </cell>
        </row>
        <row r="14">
          <cell r="L14">
            <v>12.76543719</v>
          </cell>
          <cell r="M14">
            <v>125.8117</v>
          </cell>
          <cell r="N14">
            <v>138.57713719</v>
          </cell>
        </row>
        <row r="15">
          <cell r="A15">
            <v>717</v>
          </cell>
        </row>
        <row r="15">
          <cell r="L15">
            <v>6.81827058</v>
          </cell>
          <cell r="M15">
            <v>56.4894</v>
          </cell>
          <cell r="N15">
            <v>63.30767058</v>
          </cell>
        </row>
        <row r="16">
          <cell r="A16">
            <v>780</v>
          </cell>
        </row>
        <row r="16">
          <cell r="L16">
            <v>91.68100425</v>
          </cell>
          <cell r="M16">
            <v>769.5775</v>
          </cell>
          <cell r="N16">
            <v>861.25850425</v>
          </cell>
        </row>
        <row r="17">
          <cell r="A17">
            <v>895</v>
          </cell>
        </row>
        <row r="17">
          <cell r="L17">
            <v>1.09694574</v>
          </cell>
          <cell r="M17">
            <v>9.0882</v>
          </cell>
          <cell r="N17">
            <v>10.18514574</v>
          </cell>
        </row>
        <row r="18">
          <cell r="A18">
            <v>718</v>
          </cell>
        </row>
        <row r="18">
          <cell r="L18">
            <v>124.38504342</v>
          </cell>
          <cell r="M18">
            <v>1030.5306</v>
          </cell>
          <cell r="N18">
            <v>1154.91564342</v>
          </cell>
        </row>
        <row r="19">
          <cell r="A19">
            <v>862</v>
          </cell>
        </row>
        <row r="19">
          <cell r="L19">
            <v>76.38829011</v>
          </cell>
          <cell r="M19">
            <v>632.8773</v>
          </cell>
          <cell r="N19">
            <v>709.26559011</v>
          </cell>
        </row>
        <row r="20">
          <cell r="N20">
            <v>5778.43062031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ED7D31"/>
    <pageSetUpPr fitToPage="false"/>
  </sheetPr>
  <dimension ref="A1:GT3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0" topLeftCell="GF1" activePane="topRight" state="frozen"/>
      <selection pane="topLeft" activeCell="A1" activeCellId="0" sqref="A1"/>
      <selection pane="topRight" activeCell="GJ31" activeCellId="0" sqref="GJ31"/>
    </sheetView>
  </sheetViews>
  <sheetFormatPr defaultColWidth="9" defaultRowHeight="13.5" customHeight="false" zeroHeight="false" outlineLevelRow="0" outlineLevelCol="0"/>
  <cols>
    <col collapsed="false" customWidth="true" hidden="false" outlineLevel="0" max="2" min="2" style="1" width="29.57"/>
    <col collapsed="false" customWidth="true" hidden="true" outlineLevel="0" max="3" min="3" style="1" width="9.14"/>
    <col collapsed="false" customWidth="true" hidden="true" outlineLevel="0" max="4" min="4" style="1" width="16.14"/>
    <col collapsed="false" customWidth="true" hidden="true" outlineLevel="0" max="5" min="5" style="1" width="11.14"/>
    <col collapsed="false" customWidth="true" hidden="true" outlineLevel="0" max="10" min="6" style="1" width="14.14"/>
    <col collapsed="false" customWidth="true" hidden="true" outlineLevel="0" max="11" min="11" style="1" width="10.71"/>
    <col collapsed="false" customWidth="true" hidden="true" outlineLevel="0" max="12" min="12" style="1" width="16.14"/>
    <col collapsed="false" customWidth="true" hidden="true" outlineLevel="0" max="13" min="13" style="1" width="10.43"/>
    <col collapsed="false" customWidth="true" hidden="true" outlineLevel="0" max="14" min="14" style="1" width="14.14"/>
    <col collapsed="false" customWidth="true" hidden="true" outlineLevel="0" max="15" min="15" style="1" width="16.14"/>
    <col collapsed="false" customWidth="true" hidden="true" outlineLevel="0" max="16" min="16" style="1" width="10.57"/>
    <col collapsed="false" customWidth="true" hidden="true" outlineLevel="0" max="18" min="17" style="1" width="12.14"/>
    <col collapsed="false" customWidth="true" hidden="true" outlineLevel="0" max="19" min="19" style="1" width="9.14"/>
    <col collapsed="false" customWidth="true" hidden="true" outlineLevel="0" max="20" min="20" style="1" width="16.56"/>
    <col collapsed="false" customWidth="true" hidden="true" outlineLevel="0" max="21" min="21" style="1" width="9.14"/>
    <col collapsed="false" customWidth="true" hidden="true" outlineLevel="0" max="22" min="22" style="1" width="14.29"/>
    <col collapsed="false" customWidth="true" hidden="true" outlineLevel="0" max="23" min="23" style="1" width="15.57"/>
    <col collapsed="false" customWidth="true" hidden="true" outlineLevel="0" max="24" min="24" style="1" width="11.57"/>
    <col collapsed="false" customWidth="true" hidden="true" outlineLevel="0" max="25" min="25" style="1" width="11.29"/>
    <col collapsed="false" customWidth="true" hidden="true" outlineLevel="0" max="26" min="26" style="1" width="10.29"/>
    <col collapsed="false" customWidth="true" hidden="true" outlineLevel="0" max="27" min="27" style="1" width="9.14"/>
    <col collapsed="false" customWidth="true" hidden="true" outlineLevel="0" max="28" min="28" style="1" width="15.71"/>
    <col collapsed="false" customWidth="false" hidden="true" outlineLevel="0" max="29" min="29" style="1" width="9"/>
    <col collapsed="false" customWidth="true" hidden="true" outlineLevel="0" max="30" min="30" style="1" width="14.57"/>
    <col collapsed="false" customWidth="true" hidden="true" outlineLevel="0" max="31" min="31" style="1" width="29.71"/>
    <col collapsed="false" customWidth="true" hidden="true" outlineLevel="0" max="32" min="32" style="1" width="10.71"/>
    <col collapsed="false" customWidth="true" hidden="true" outlineLevel="0" max="33" min="33" style="1" width="12.43"/>
    <col collapsed="false" customWidth="true" hidden="true" outlineLevel="0" max="34" min="34" style="1" width="13.86"/>
    <col collapsed="false" customWidth="true" hidden="true" outlineLevel="0" max="35" min="35" style="1" width="16.56"/>
    <col collapsed="false" customWidth="true" hidden="true" outlineLevel="0" max="36" min="36" style="1" width="9.14"/>
    <col collapsed="false" customWidth="true" hidden="true" outlineLevel="0" max="37" min="37" style="1" width="15"/>
    <col collapsed="false" customWidth="true" hidden="true" outlineLevel="0" max="38" min="38" style="1" width="9.14"/>
    <col collapsed="false" customWidth="true" hidden="true" outlineLevel="0" max="39" min="39" style="1" width="15.71"/>
    <col collapsed="false" customWidth="false" hidden="true" outlineLevel="0" max="40" min="40" style="1" width="9"/>
    <col collapsed="false" customWidth="true" hidden="true" outlineLevel="0" max="41" min="41" style="1" width="14.57"/>
    <col collapsed="false" customWidth="true" hidden="true" outlineLevel="0" max="42" min="42" style="1" width="15.86"/>
    <col collapsed="false" customWidth="true" hidden="true" outlineLevel="0" max="43" min="43" style="1" width="10.71"/>
    <col collapsed="false" customWidth="true" hidden="true" outlineLevel="0" max="44" min="44" style="1" width="12.43"/>
    <col collapsed="false" customWidth="true" hidden="true" outlineLevel="0" max="45" min="45" style="1" width="13.86"/>
    <col collapsed="false" customWidth="true" hidden="true" outlineLevel="0" max="46" min="46" style="1" width="16.56"/>
    <col collapsed="false" customWidth="true" hidden="true" outlineLevel="0" max="47" min="47" style="1" width="9.14"/>
    <col collapsed="false" customWidth="true" hidden="true" outlineLevel="0" max="48" min="48" style="1" width="15"/>
    <col collapsed="false" customWidth="true" hidden="true" outlineLevel="0" max="49" min="49" style="1" width="9.14"/>
    <col collapsed="false" customWidth="true" hidden="true" outlineLevel="0" max="50" min="50" style="1" width="16.29"/>
    <col collapsed="false" customWidth="true" hidden="true" outlineLevel="0" max="51" min="51" style="1" width="9.14"/>
    <col collapsed="false" customWidth="true" hidden="true" outlineLevel="0" max="52" min="52" style="1" width="14.86"/>
    <col collapsed="false" customWidth="true" hidden="true" outlineLevel="0" max="53" min="53" style="1" width="16.56"/>
    <col collapsed="false" customWidth="true" hidden="true" outlineLevel="0" max="54" min="54" style="1" width="11.29"/>
    <col collapsed="false" customWidth="true" hidden="true" outlineLevel="0" max="55" min="55" style="1" width="12"/>
    <col collapsed="false" customWidth="true" hidden="true" outlineLevel="0" max="56" min="56" style="1" width="13.71"/>
    <col collapsed="false" customWidth="true" hidden="true" outlineLevel="0" max="57" min="57" style="1" width="16.29"/>
    <col collapsed="false" customWidth="true" hidden="true" outlineLevel="0" max="58" min="58" style="1" width="9.14"/>
    <col collapsed="false" customWidth="true" hidden="true" outlineLevel="0" max="59" min="59" style="1" width="14.43"/>
    <col collapsed="false" customWidth="true" hidden="true" outlineLevel="0" max="60" min="60" style="1" width="9.14"/>
    <col collapsed="false" customWidth="true" hidden="true" outlineLevel="0" max="61" min="61" style="1" width="15.43"/>
    <col collapsed="false" customWidth="true" hidden="true" outlineLevel="0" max="62" min="62" style="1" width="9.14"/>
    <col collapsed="false" customWidth="true" hidden="true" outlineLevel="0" max="64" min="63" style="1" width="14.43"/>
    <col collapsed="false" customWidth="true" hidden="true" outlineLevel="0" max="65" min="65" style="1" width="10.43"/>
    <col collapsed="false" customWidth="true" hidden="true" outlineLevel="0" max="66" min="66" style="1" width="13"/>
    <col collapsed="false" customWidth="true" hidden="true" outlineLevel="0" max="67" min="67" style="1" width="9.14"/>
    <col collapsed="false" customWidth="true" hidden="true" outlineLevel="0" max="68" min="68" style="1" width="17.29"/>
    <col collapsed="false" customWidth="true" hidden="true" outlineLevel="0" max="69" min="69" style="1" width="9.14"/>
    <col collapsed="false" customWidth="true" hidden="true" outlineLevel="0" max="70" min="70" style="1" width="15.57"/>
    <col collapsed="false" customWidth="true" hidden="true" outlineLevel="0" max="71" min="71" style="1" width="9.14"/>
    <col collapsed="false" customWidth="true" hidden="true" outlineLevel="0" max="72" min="72" style="1" width="16.29"/>
    <col collapsed="false" customWidth="true" hidden="true" outlineLevel="0" max="73" min="73" style="1" width="9.14"/>
    <col collapsed="false" customWidth="true" hidden="true" outlineLevel="0" max="74" min="74" style="1" width="14.86"/>
    <col collapsed="false" customWidth="true" hidden="true" outlineLevel="0" max="75" min="75" style="1" width="16.56"/>
    <col collapsed="false" customWidth="true" hidden="true" outlineLevel="0" max="76" min="76" style="1" width="11.29"/>
    <col collapsed="false" customWidth="true" hidden="true" outlineLevel="0" max="77" min="77" style="1" width="12"/>
    <col collapsed="false" customWidth="true" hidden="true" outlineLevel="0" max="78" min="78" style="1" width="15"/>
    <col collapsed="false" customWidth="true" hidden="true" outlineLevel="0" max="79" min="79" style="1" width="16.29"/>
    <col collapsed="false" customWidth="true" hidden="true" outlineLevel="0" max="80" min="80" style="1" width="9.14"/>
    <col collapsed="false" customWidth="true" hidden="true" outlineLevel="0" max="81" min="81" style="1" width="14.43"/>
    <col collapsed="false" customWidth="true" hidden="true" outlineLevel="0" max="82" min="82" style="1" width="9.14"/>
    <col collapsed="false" customWidth="true" hidden="true" outlineLevel="0" max="83" min="83" style="1" width="15.43"/>
    <col collapsed="false" customWidth="true" hidden="true" outlineLevel="0" max="84" min="84" style="1" width="9.14"/>
    <col collapsed="false" customWidth="true" hidden="true" outlineLevel="0" max="86" min="85" style="1" width="14.43"/>
    <col collapsed="false" customWidth="true" hidden="true" outlineLevel="0" max="87" min="87" style="1" width="10.43"/>
    <col collapsed="false" customWidth="true" hidden="true" outlineLevel="0" max="88" min="88" style="1" width="13"/>
    <col collapsed="false" customWidth="true" hidden="true" outlineLevel="0" max="89" min="89" style="1" width="9.14"/>
    <col collapsed="false" customWidth="true" hidden="true" outlineLevel="0" max="90" min="90" style="1" width="17.29"/>
    <col collapsed="false" customWidth="true" hidden="true" outlineLevel="0" max="91" min="91" style="1" width="9.14"/>
    <col collapsed="false" customWidth="true" hidden="true" outlineLevel="0" max="92" min="92" style="1" width="15.57"/>
    <col collapsed="false" customWidth="true" hidden="true" outlineLevel="0" max="93" min="93" style="1" width="9.14"/>
    <col collapsed="false" customWidth="true" hidden="true" outlineLevel="0" max="94" min="94" style="1" width="16.29"/>
    <col collapsed="false" customWidth="true" hidden="true" outlineLevel="0" max="95" min="95" style="1" width="9.14"/>
    <col collapsed="false" customWidth="true" hidden="true" outlineLevel="0" max="96" min="96" style="1" width="14.86"/>
    <col collapsed="false" customWidth="true" hidden="true" outlineLevel="0" max="97" min="97" style="1" width="16.56"/>
    <col collapsed="false" customWidth="true" hidden="true" outlineLevel="0" max="98" min="98" style="1" width="11.29"/>
    <col collapsed="false" customWidth="true" hidden="true" outlineLevel="0" max="99" min="99" style="1" width="12"/>
    <col collapsed="false" customWidth="true" hidden="true" outlineLevel="0" max="100" min="100" style="1" width="15"/>
    <col collapsed="false" customWidth="true" hidden="true" outlineLevel="0" max="101" min="101" style="1" width="16.29"/>
    <col collapsed="false" customWidth="true" hidden="true" outlineLevel="0" max="102" min="102" style="1" width="9.14"/>
    <col collapsed="false" customWidth="true" hidden="true" outlineLevel="0" max="103" min="103" style="1" width="14.43"/>
    <col collapsed="false" customWidth="true" hidden="true" outlineLevel="0" max="104" min="104" style="1" width="9.14"/>
    <col collapsed="false" customWidth="true" hidden="true" outlineLevel="0" max="105" min="105" style="1" width="16.71"/>
    <col collapsed="false" customWidth="true" hidden="true" outlineLevel="0" max="106" min="106" style="1" width="9.14"/>
    <col collapsed="false" customWidth="true" hidden="true" outlineLevel="0" max="107" min="107" style="1" width="14.29"/>
    <col collapsed="false" customWidth="true" hidden="true" outlineLevel="0" max="108" min="108" style="1" width="16"/>
    <col collapsed="false" customWidth="true" hidden="true" outlineLevel="0" max="109" min="109" style="1" width="11.71"/>
    <col collapsed="false" customWidth="true" hidden="true" outlineLevel="0" max="110" min="110" style="1" width="11.57"/>
    <col collapsed="false" customWidth="true" hidden="true" outlineLevel="0" max="111" min="111" style="1" width="9.14"/>
    <col collapsed="false" customWidth="true" hidden="true" outlineLevel="0" max="112" min="112" style="1" width="16.56"/>
    <col collapsed="false" customWidth="true" hidden="true" outlineLevel="0" max="113" min="113" style="1" width="9.14"/>
    <col collapsed="false" customWidth="true" hidden="true" outlineLevel="0" max="114" min="114" style="1" width="14.86"/>
    <col collapsed="false" customWidth="true" hidden="true" outlineLevel="0" max="115" min="115" style="1" width="9.14"/>
    <col collapsed="false" customWidth="true" hidden="true" outlineLevel="0" max="116" min="116" style="1" width="16.71"/>
    <col collapsed="false" customWidth="true" hidden="true" outlineLevel="0" max="117" min="117" style="1" width="9.14"/>
    <col collapsed="false" customWidth="true" hidden="true" outlineLevel="0" max="118" min="118" style="1" width="14.29"/>
    <col collapsed="false" customWidth="true" hidden="true" outlineLevel="0" max="119" min="119" style="1" width="16"/>
    <col collapsed="false" customWidth="true" hidden="true" outlineLevel="0" max="120" min="120" style="1" width="11.71"/>
    <col collapsed="false" customWidth="true" hidden="true" outlineLevel="0" max="121" min="121" style="1" width="11.57"/>
    <col collapsed="false" customWidth="true" hidden="true" outlineLevel="0" max="122" min="122" style="1" width="9.14"/>
    <col collapsed="false" customWidth="true" hidden="true" outlineLevel="0" max="123" min="123" style="1" width="16.56"/>
    <col collapsed="false" customWidth="true" hidden="true" outlineLevel="0" max="124" min="124" style="1" width="9.14"/>
    <col collapsed="false" customWidth="true" hidden="true" outlineLevel="0" max="125" min="125" style="1" width="14.86"/>
    <col collapsed="false" customWidth="true" hidden="true" outlineLevel="0" max="126" min="126" style="1" width="9.14"/>
    <col collapsed="false" customWidth="true" hidden="true" outlineLevel="0" max="127" min="127" style="1" width="15.86"/>
    <col collapsed="false" customWidth="true" hidden="true" outlineLevel="0" max="128" min="128" style="1" width="9.14"/>
    <col collapsed="false" customWidth="true" hidden="true" outlineLevel="0" max="129" min="129" style="1" width="14.57"/>
    <col collapsed="false" customWidth="true" hidden="true" outlineLevel="0" max="130" min="130" style="1" width="16.43"/>
    <col collapsed="false" customWidth="true" hidden="true" outlineLevel="0" max="131" min="131" style="1" width="15.29"/>
    <col collapsed="false" customWidth="true" hidden="true" outlineLevel="0" max="132" min="132" style="1" width="13.57"/>
    <col collapsed="false" customWidth="true" hidden="true" outlineLevel="0" max="133" min="133" style="1" width="9.14"/>
    <col collapsed="false" customWidth="true" hidden="true" outlineLevel="0" max="134" min="134" style="1" width="15.29"/>
    <col collapsed="false" customWidth="true" hidden="true" outlineLevel="0" max="135" min="135" style="1" width="12"/>
    <col collapsed="false" customWidth="true" hidden="true" outlineLevel="0" max="136" min="136" style="1" width="15.14"/>
    <col collapsed="false" customWidth="true" hidden="true" outlineLevel="0" max="137" min="137" style="1" width="9.14"/>
    <col collapsed="false" customWidth="true" hidden="true" outlineLevel="0" max="138" min="138" style="1" width="16.14"/>
    <col collapsed="false" customWidth="true" hidden="true" outlineLevel="0" max="139" min="139" style="1" width="9.14"/>
    <col collapsed="false" customWidth="true" hidden="true" outlineLevel="0" max="140" min="140" style="1" width="17"/>
    <col collapsed="false" customWidth="true" hidden="true" outlineLevel="0" max="141" min="141" style="1" width="15.14"/>
    <col collapsed="false" customWidth="true" hidden="true" outlineLevel="0" max="142" min="142" style="1" width="11"/>
    <col collapsed="false" customWidth="true" hidden="true" outlineLevel="0" max="143" min="143" style="1" width="12.86"/>
    <col collapsed="false" customWidth="true" hidden="true" outlineLevel="0" max="144" min="144" style="1" width="9.14"/>
    <col collapsed="false" customWidth="true" hidden="true" outlineLevel="0" max="145" min="145" style="1" width="17.29"/>
    <col collapsed="false" customWidth="true" hidden="true" outlineLevel="0" max="146" min="146" style="1" width="9.14"/>
    <col collapsed="false" customWidth="true" hidden="true" outlineLevel="0" max="147" min="147" style="1" width="14.14"/>
    <col collapsed="false" customWidth="true" hidden="true" outlineLevel="0" max="148" min="148" style="1" width="9.14"/>
    <col collapsed="false" customWidth="true" hidden="true" outlineLevel="0" max="149" min="149" style="1" width="14.71"/>
    <col collapsed="false" customWidth="true" hidden="true" outlineLevel="0" max="150" min="150" style="1" width="9.14"/>
    <col collapsed="false" customWidth="true" hidden="true" outlineLevel="0" max="151" min="151" style="1" width="14.57"/>
    <col collapsed="false" customWidth="true" hidden="true" outlineLevel="0" max="152" min="152" style="1" width="16.56"/>
    <col collapsed="false" customWidth="true" hidden="true" outlineLevel="0" max="153" min="153" style="1" width="13.14"/>
    <col collapsed="false" customWidth="true" hidden="true" outlineLevel="0" max="154" min="154" style="1" width="11.43"/>
    <col collapsed="false" customWidth="true" hidden="true" outlineLevel="0" max="155" min="155" style="1" width="9.14"/>
    <col collapsed="false" customWidth="true" hidden="true" outlineLevel="0" max="156" min="156" style="1" width="15.29"/>
    <col collapsed="false" customWidth="true" hidden="true" outlineLevel="0" max="157" min="157" style="1" width="9.14"/>
    <col collapsed="false" customWidth="true" hidden="true" outlineLevel="0" max="158" min="158" style="1" width="13.71"/>
    <col collapsed="false" customWidth="true" hidden="true" outlineLevel="0" max="159" min="159" style="1" width="9.14"/>
    <col collapsed="false" customWidth="true" hidden="true" outlineLevel="0" max="160" min="160" style="1" width="16.14"/>
    <col collapsed="false" customWidth="true" hidden="true" outlineLevel="0" max="161" min="161" style="1" width="9.14"/>
    <col collapsed="false" customWidth="true" hidden="true" outlineLevel="0" max="162" min="162" style="1" width="13.86"/>
    <col collapsed="false" customWidth="true" hidden="true" outlineLevel="0" max="163" min="163" style="1" width="16.71"/>
    <col collapsed="false" customWidth="true" hidden="true" outlineLevel="0" max="164" min="164" style="1" width="13"/>
    <col collapsed="false" customWidth="true" hidden="true" outlineLevel="0" max="165" min="165" style="1" width="14"/>
    <col collapsed="false" customWidth="true" hidden="true" outlineLevel="0" max="166" min="166" style="1" width="13.43"/>
    <col collapsed="false" customWidth="true" hidden="true" outlineLevel="0" max="167" min="167" style="1" width="16.71"/>
    <col collapsed="false" customWidth="true" hidden="true" outlineLevel="0" max="168" min="168" style="1" width="9.14"/>
    <col collapsed="false" customWidth="true" hidden="true" outlineLevel="0" max="169" min="169" style="1" width="16"/>
    <col collapsed="false" customWidth="true" hidden="true" outlineLevel="0" max="170" min="170" style="1" width="9.14"/>
    <col collapsed="false" customWidth="true" hidden="true" outlineLevel="0" max="171" min="171" style="1" width="16.14"/>
    <col collapsed="false" customWidth="true" hidden="true" outlineLevel="0" max="172" min="172" style="1" width="9.14"/>
    <col collapsed="false" customWidth="true" hidden="true" outlineLevel="0" max="173" min="173" style="1" width="13.86"/>
    <col collapsed="false" customWidth="true" hidden="true" outlineLevel="0" max="174" min="174" style="1" width="16.71"/>
    <col collapsed="false" customWidth="true" hidden="true" outlineLevel="0" max="175" min="175" style="1" width="13"/>
    <col collapsed="false" customWidth="true" hidden="true" outlineLevel="0" max="176" min="176" style="1" width="11.29"/>
    <col collapsed="false" customWidth="true" hidden="true" outlineLevel="0" max="177" min="177" style="1" width="9.14"/>
    <col collapsed="false" customWidth="true" hidden="true" outlineLevel="0" max="178" min="178" style="1" width="17.14"/>
    <col collapsed="false" customWidth="true" hidden="true" outlineLevel="0" max="179" min="179" style="1" width="9.43"/>
    <col collapsed="false" customWidth="true" hidden="true" outlineLevel="0" max="180" min="180" style="1" width="14.29"/>
    <col collapsed="false" customWidth="true" hidden="false" outlineLevel="0" max="182" min="182" style="1" width="15.29"/>
    <col collapsed="false" customWidth="true" hidden="false" outlineLevel="0" max="184" min="184" style="1" width="16"/>
    <col collapsed="false" customWidth="true" hidden="false" outlineLevel="0" max="185" min="185" style="1" width="16.29"/>
    <col collapsed="false" customWidth="true" hidden="false" outlineLevel="0" max="186" min="186" style="1" width="12.29"/>
    <col collapsed="false" customWidth="true" hidden="false" outlineLevel="0" max="187" min="187" style="1" width="26.29"/>
    <col collapsed="false" customWidth="true" hidden="false" outlineLevel="0" max="188" min="188" style="1" width="19.86"/>
    <col collapsed="false" customWidth="true" hidden="false" outlineLevel="0" max="189" min="189" style="1" width="17"/>
    <col collapsed="false" customWidth="true" hidden="false" outlineLevel="0" max="191" min="191" style="1" width="22.14"/>
    <col collapsed="false" customWidth="true" hidden="false" outlineLevel="0" max="192" min="192" style="1" width="10.71"/>
    <col collapsed="false" customWidth="true" hidden="false" outlineLevel="0" max="193" min="193" style="1" width="15.29"/>
    <col collapsed="false" customWidth="true" hidden="false" outlineLevel="0" max="195" min="195" style="1" width="16"/>
    <col collapsed="false" customWidth="true" hidden="false" outlineLevel="0" max="196" min="196" style="1" width="16.29"/>
    <col collapsed="false" customWidth="true" hidden="false" outlineLevel="0" max="197" min="197" style="1" width="12.29"/>
    <col collapsed="false" customWidth="true" hidden="false" outlineLevel="0" max="198" min="198" style="1" width="26.29"/>
    <col collapsed="false" customWidth="true" hidden="false" outlineLevel="0" max="199" min="199" style="1" width="19.86"/>
    <col collapsed="false" customWidth="true" hidden="false" outlineLevel="0" max="200" min="200" style="1" width="17"/>
    <col collapsed="false" customWidth="true" hidden="false" outlineLevel="0" max="202" min="202" style="1" width="22.14"/>
  </cols>
  <sheetData>
    <row r="1" customFormat="false" ht="13.5" hidden="false" customHeight="false" outlineLevel="0" collapsed="false">
      <c r="AA1" s="2"/>
      <c r="AB1" s="2"/>
      <c r="AC1" s="2"/>
      <c r="AD1" s="2"/>
      <c r="AE1" s="2"/>
      <c r="AF1" s="2"/>
      <c r="AG1" s="2"/>
      <c r="AH1" s="2"/>
      <c r="AI1" s="3" t="s">
        <v>0</v>
      </c>
      <c r="AJ1" s="3"/>
      <c r="AK1" s="3"/>
      <c r="AL1" s="2"/>
      <c r="AM1" s="2"/>
      <c r="AN1" s="2"/>
      <c r="AO1" s="2"/>
      <c r="AP1" s="2"/>
      <c r="AQ1" s="2"/>
      <c r="AR1" s="2"/>
      <c r="AS1" s="2"/>
      <c r="AT1" s="3" t="s">
        <v>0</v>
      </c>
      <c r="AU1" s="3"/>
      <c r="AV1" s="3"/>
      <c r="AW1" s="2"/>
      <c r="AX1" s="2"/>
      <c r="AY1" s="2"/>
      <c r="AZ1" s="2"/>
      <c r="BA1" s="2"/>
      <c r="BB1" s="2"/>
      <c r="BC1" s="2"/>
      <c r="BD1" s="2"/>
      <c r="BE1" s="3" t="s">
        <v>0</v>
      </c>
      <c r="BF1" s="3"/>
      <c r="BG1" s="3"/>
      <c r="BH1" s="2"/>
      <c r="BI1" s="2"/>
      <c r="BJ1" s="2"/>
      <c r="BK1" s="2"/>
      <c r="BL1" s="2"/>
      <c r="BM1" s="2"/>
      <c r="BN1" s="2"/>
      <c r="BO1" s="2"/>
      <c r="BP1" s="3" t="s">
        <v>0</v>
      </c>
      <c r="BQ1" s="3"/>
      <c r="BR1" s="3"/>
      <c r="BS1" s="2"/>
      <c r="BT1" s="2"/>
      <c r="BU1" s="2"/>
      <c r="BV1" s="2"/>
      <c r="BW1" s="2"/>
      <c r="BX1" s="2"/>
      <c r="BY1" s="2"/>
      <c r="BZ1" s="2"/>
      <c r="CA1" s="3" t="s">
        <v>0</v>
      </c>
      <c r="CB1" s="3"/>
      <c r="CC1" s="3"/>
      <c r="CD1" s="2"/>
      <c r="CE1" s="2"/>
      <c r="CF1" s="2"/>
      <c r="CG1" s="2"/>
      <c r="CH1" s="2"/>
      <c r="CI1" s="2"/>
      <c r="CJ1" s="2"/>
      <c r="CK1" s="2"/>
      <c r="CL1" s="3" t="s">
        <v>0</v>
      </c>
      <c r="CM1" s="3"/>
      <c r="CN1" s="3"/>
      <c r="CO1" s="2"/>
      <c r="CP1" s="2"/>
      <c r="CQ1" s="2"/>
      <c r="CR1" s="2"/>
      <c r="CS1" s="2"/>
      <c r="CT1" s="2"/>
      <c r="CU1" s="2"/>
      <c r="CV1" s="2"/>
      <c r="CW1" s="3" t="s">
        <v>0</v>
      </c>
      <c r="CX1" s="3"/>
      <c r="CY1" s="3"/>
      <c r="CZ1" s="2"/>
      <c r="DA1" s="2"/>
      <c r="DB1" s="2"/>
      <c r="DC1" s="2"/>
      <c r="DD1" s="2"/>
      <c r="DE1" s="2"/>
      <c r="DF1" s="2"/>
      <c r="DG1" s="2"/>
      <c r="DH1" s="3" t="s">
        <v>0</v>
      </c>
      <c r="DI1" s="3"/>
      <c r="DJ1" s="3"/>
      <c r="DK1" s="2"/>
      <c r="DL1" s="2"/>
      <c r="DM1" s="2"/>
      <c r="DN1" s="2"/>
      <c r="DO1" s="2"/>
      <c r="DP1" s="2"/>
      <c r="DQ1" s="2"/>
      <c r="DR1" s="2"/>
      <c r="DS1" s="3" t="s">
        <v>0</v>
      </c>
      <c r="DT1" s="3"/>
      <c r="DU1" s="3"/>
      <c r="DV1" s="2"/>
      <c r="DW1" s="2"/>
      <c r="DX1" s="2"/>
      <c r="DY1" s="2"/>
      <c r="DZ1" s="2"/>
      <c r="EA1" s="2"/>
      <c r="EB1" s="2"/>
      <c r="EC1" s="2"/>
      <c r="ED1" s="3" t="s">
        <v>0</v>
      </c>
      <c r="EE1" s="3"/>
      <c r="EF1" s="3"/>
      <c r="EG1" s="2"/>
      <c r="EH1" s="2"/>
      <c r="EI1" s="2"/>
      <c r="EJ1" s="2"/>
      <c r="EK1" s="2"/>
      <c r="EL1" s="2"/>
      <c r="EM1" s="2"/>
      <c r="EN1" s="2"/>
      <c r="EO1" s="3" t="s">
        <v>0</v>
      </c>
      <c r="EP1" s="3"/>
      <c r="EQ1" s="3"/>
      <c r="ER1" s="2"/>
      <c r="ES1" s="2"/>
      <c r="ET1" s="2"/>
      <c r="EU1" s="2"/>
      <c r="EV1" s="2"/>
      <c r="EW1" s="2"/>
      <c r="EX1" s="2"/>
      <c r="EY1" s="2"/>
      <c r="EZ1" s="3" t="s">
        <v>0</v>
      </c>
      <c r="FA1" s="3"/>
      <c r="FB1" s="3"/>
      <c r="FC1" s="2"/>
      <c r="FD1" s="2"/>
      <c r="FE1" s="2"/>
      <c r="FF1" s="2"/>
      <c r="FG1" s="2"/>
      <c r="FH1" s="2"/>
      <c r="FI1" s="2"/>
      <c r="FJ1" s="2"/>
      <c r="FK1" s="3" t="s">
        <v>0</v>
      </c>
      <c r="FL1" s="3"/>
      <c r="FM1" s="3"/>
      <c r="FN1" s="2"/>
      <c r="FO1" s="2"/>
      <c r="FP1" s="2"/>
      <c r="FQ1" s="2"/>
      <c r="FR1" s="2"/>
      <c r="FS1" s="2"/>
      <c r="FT1" s="2"/>
      <c r="FU1" s="2"/>
      <c r="FV1" s="3" t="s">
        <v>0</v>
      </c>
      <c r="FW1" s="3"/>
      <c r="FX1" s="3"/>
      <c r="FY1" s="2"/>
      <c r="FZ1" s="2"/>
      <c r="GA1" s="2"/>
      <c r="GB1" s="2"/>
      <c r="GC1" s="2"/>
      <c r="GD1" s="2"/>
      <c r="GE1" s="2"/>
      <c r="GF1" s="2"/>
      <c r="GG1" s="3" t="s">
        <v>0</v>
      </c>
      <c r="GH1" s="3"/>
      <c r="GI1" s="3"/>
      <c r="GJ1" s="2"/>
      <c r="GK1" s="2"/>
      <c r="GL1" s="2"/>
      <c r="GM1" s="2"/>
      <c r="GN1" s="2"/>
      <c r="GO1" s="2"/>
      <c r="GP1" s="2"/>
      <c r="GQ1" s="2"/>
      <c r="GR1" s="3" t="s">
        <v>0</v>
      </c>
      <c r="GS1" s="3"/>
      <c r="GT1" s="3"/>
    </row>
    <row r="2" customFormat="false" ht="13.5" hidden="false" customHeight="false" outlineLevel="0" collapsed="false">
      <c r="A2" s="4" t="s">
        <v>1</v>
      </c>
      <c r="B2" s="5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6" t="s">
        <v>8</v>
      </c>
      <c r="I2" s="6" t="s">
        <v>9</v>
      </c>
      <c r="J2" s="6" t="s">
        <v>10</v>
      </c>
      <c r="K2" s="7" t="s">
        <v>3</v>
      </c>
      <c r="L2" s="7" t="s">
        <v>4</v>
      </c>
      <c r="M2" s="7" t="s">
        <v>5</v>
      </c>
      <c r="N2" s="7" t="s">
        <v>6</v>
      </c>
      <c r="O2" s="7" t="s">
        <v>11</v>
      </c>
      <c r="P2" s="7" t="s">
        <v>8</v>
      </c>
      <c r="Q2" s="7" t="s">
        <v>9</v>
      </c>
      <c r="R2" s="7" t="s">
        <v>10</v>
      </c>
      <c r="S2" s="6" t="s">
        <v>3</v>
      </c>
      <c r="T2" s="6" t="s">
        <v>4</v>
      </c>
      <c r="U2" s="6" t="s">
        <v>5</v>
      </c>
      <c r="V2" s="6" t="s">
        <v>6</v>
      </c>
      <c r="W2" s="6" t="s">
        <v>11</v>
      </c>
      <c r="X2" s="6" t="s">
        <v>8</v>
      </c>
      <c r="Y2" s="6" t="s">
        <v>9</v>
      </c>
      <c r="Z2" s="6" t="s">
        <v>10</v>
      </c>
      <c r="AA2" s="7" t="s">
        <v>3</v>
      </c>
      <c r="AB2" s="7" t="s">
        <v>4</v>
      </c>
      <c r="AC2" s="7" t="s">
        <v>5</v>
      </c>
      <c r="AD2" s="7" t="s">
        <v>6</v>
      </c>
      <c r="AE2" s="7" t="s">
        <v>11</v>
      </c>
      <c r="AF2" s="7" t="s">
        <v>8</v>
      </c>
      <c r="AG2" s="7" t="s">
        <v>9</v>
      </c>
      <c r="AH2" s="8" t="s">
        <v>10</v>
      </c>
      <c r="AI2" s="3" t="s">
        <v>4</v>
      </c>
      <c r="AJ2" s="3" t="s">
        <v>5</v>
      </c>
      <c r="AK2" s="3" t="s">
        <v>6</v>
      </c>
      <c r="AL2" s="6" t="s">
        <v>3</v>
      </c>
      <c r="AM2" s="6" t="s">
        <v>4</v>
      </c>
      <c r="AN2" s="6" t="s">
        <v>5</v>
      </c>
      <c r="AO2" s="6" t="s">
        <v>6</v>
      </c>
      <c r="AP2" s="6" t="s">
        <v>11</v>
      </c>
      <c r="AQ2" s="6" t="s">
        <v>8</v>
      </c>
      <c r="AR2" s="6" t="s">
        <v>9</v>
      </c>
      <c r="AS2" s="6" t="s">
        <v>10</v>
      </c>
      <c r="AT2" s="3" t="s">
        <v>4</v>
      </c>
      <c r="AU2" s="3" t="s">
        <v>5</v>
      </c>
      <c r="AV2" s="3" t="s">
        <v>6</v>
      </c>
      <c r="AW2" s="7" t="s">
        <v>3</v>
      </c>
      <c r="AX2" s="7" t="s">
        <v>4</v>
      </c>
      <c r="AY2" s="7" t="s">
        <v>5</v>
      </c>
      <c r="AZ2" s="7" t="s">
        <v>6</v>
      </c>
      <c r="BA2" s="7" t="s">
        <v>11</v>
      </c>
      <c r="BB2" s="7" t="s">
        <v>8</v>
      </c>
      <c r="BC2" s="7" t="s">
        <v>9</v>
      </c>
      <c r="BD2" s="8" t="s">
        <v>10</v>
      </c>
      <c r="BE2" s="3" t="s">
        <v>4</v>
      </c>
      <c r="BF2" s="3" t="s">
        <v>5</v>
      </c>
      <c r="BG2" s="3" t="s">
        <v>6</v>
      </c>
      <c r="BH2" s="6" t="s">
        <v>3</v>
      </c>
      <c r="BI2" s="6" t="s">
        <v>4</v>
      </c>
      <c r="BJ2" s="6" t="s">
        <v>5</v>
      </c>
      <c r="BK2" s="6" t="s">
        <v>6</v>
      </c>
      <c r="BL2" s="6" t="s">
        <v>11</v>
      </c>
      <c r="BM2" s="6" t="s">
        <v>8</v>
      </c>
      <c r="BN2" s="6" t="s">
        <v>9</v>
      </c>
      <c r="BO2" s="6" t="s">
        <v>10</v>
      </c>
      <c r="BP2" s="3" t="s">
        <v>4</v>
      </c>
      <c r="BQ2" s="3" t="s">
        <v>5</v>
      </c>
      <c r="BR2" s="3" t="s">
        <v>6</v>
      </c>
      <c r="BS2" s="7" t="s">
        <v>3</v>
      </c>
      <c r="BT2" s="7" t="s">
        <v>4</v>
      </c>
      <c r="BU2" s="7" t="s">
        <v>5</v>
      </c>
      <c r="BV2" s="7" t="s">
        <v>6</v>
      </c>
      <c r="BW2" s="7" t="s">
        <v>11</v>
      </c>
      <c r="BX2" s="7" t="s">
        <v>8</v>
      </c>
      <c r="BY2" s="7" t="s">
        <v>9</v>
      </c>
      <c r="BZ2" s="8" t="s">
        <v>10</v>
      </c>
      <c r="CA2" s="3" t="s">
        <v>4</v>
      </c>
      <c r="CB2" s="3" t="s">
        <v>5</v>
      </c>
      <c r="CC2" s="3" t="s">
        <v>6</v>
      </c>
      <c r="CD2" s="6" t="s">
        <v>3</v>
      </c>
      <c r="CE2" s="6" t="s">
        <v>4</v>
      </c>
      <c r="CF2" s="6" t="s">
        <v>5</v>
      </c>
      <c r="CG2" s="6" t="s">
        <v>6</v>
      </c>
      <c r="CH2" s="6" t="s">
        <v>11</v>
      </c>
      <c r="CI2" s="6" t="s">
        <v>8</v>
      </c>
      <c r="CJ2" s="6" t="s">
        <v>9</v>
      </c>
      <c r="CK2" s="6" t="s">
        <v>10</v>
      </c>
      <c r="CL2" s="3" t="s">
        <v>4</v>
      </c>
      <c r="CM2" s="3" t="s">
        <v>5</v>
      </c>
      <c r="CN2" s="3" t="s">
        <v>6</v>
      </c>
      <c r="CO2" s="7" t="s">
        <v>3</v>
      </c>
      <c r="CP2" s="7" t="s">
        <v>4</v>
      </c>
      <c r="CQ2" s="7" t="s">
        <v>5</v>
      </c>
      <c r="CR2" s="7" t="s">
        <v>6</v>
      </c>
      <c r="CS2" s="7" t="s">
        <v>11</v>
      </c>
      <c r="CT2" s="7" t="s">
        <v>8</v>
      </c>
      <c r="CU2" s="7" t="s">
        <v>9</v>
      </c>
      <c r="CV2" s="8" t="s">
        <v>10</v>
      </c>
      <c r="CW2" s="3" t="s">
        <v>4</v>
      </c>
      <c r="CX2" s="3" t="s">
        <v>5</v>
      </c>
      <c r="CY2" s="3" t="s">
        <v>6</v>
      </c>
      <c r="CZ2" s="9" t="s">
        <v>3</v>
      </c>
      <c r="DA2" s="9" t="s">
        <v>4</v>
      </c>
      <c r="DB2" s="9" t="s">
        <v>5</v>
      </c>
      <c r="DC2" s="9" t="s">
        <v>6</v>
      </c>
      <c r="DD2" s="9" t="s">
        <v>11</v>
      </c>
      <c r="DE2" s="9" t="s">
        <v>8</v>
      </c>
      <c r="DF2" s="9" t="s">
        <v>9</v>
      </c>
      <c r="DG2" s="10" t="s">
        <v>10</v>
      </c>
      <c r="DH2" s="3" t="s">
        <v>4</v>
      </c>
      <c r="DI2" s="3" t="s">
        <v>5</v>
      </c>
      <c r="DJ2" s="3" t="s">
        <v>6</v>
      </c>
      <c r="DK2" s="7" t="s">
        <v>3</v>
      </c>
      <c r="DL2" s="7" t="s">
        <v>4</v>
      </c>
      <c r="DM2" s="7" t="s">
        <v>5</v>
      </c>
      <c r="DN2" s="7" t="s">
        <v>6</v>
      </c>
      <c r="DO2" s="7" t="s">
        <v>11</v>
      </c>
      <c r="DP2" s="7" t="s">
        <v>8</v>
      </c>
      <c r="DQ2" s="7" t="s">
        <v>9</v>
      </c>
      <c r="DR2" s="8" t="s">
        <v>10</v>
      </c>
      <c r="DS2" s="3" t="s">
        <v>4</v>
      </c>
      <c r="DT2" s="3" t="s">
        <v>5</v>
      </c>
      <c r="DU2" s="3" t="s">
        <v>6</v>
      </c>
      <c r="DV2" s="9" t="s">
        <v>3</v>
      </c>
      <c r="DW2" s="9" t="s">
        <v>4</v>
      </c>
      <c r="DX2" s="9" t="s">
        <v>5</v>
      </c>
      <c r="DY2" s="9" t="s">
        <v>6</v>
      </c>
      <c r="DZ2" s="9" t="s">
        <v>11</v>
      </c>
      <c r="EA2" s="9" t="s">
        <v>8</v>
      </c>
      <c r="EB2" s="9" t="s">
        <v>9</v>
      </c>
      <c r="EC2" s="10" t="s">
        <v>10</v>
      </c>
      <c r="ED2" s="3" t="s">
        <v>4</v>
      </c>
      <c r="EE2" s="3" t="s">
        <v>5</v>
      </c>
      <c r="EF2" s="3" t="s">
        <v>6</v>
      </c>
      <c r="EG2" s="7" t="s">
        <v>3</v>
      </c>
      <c r="EH2" s="7" t="s">
        <v>4</v>
      </c>
      <c r="EI2" s="7" t="s">
        <v>5</v>
      </c>
      <c r="EJ2" s="7" t="s">
        <v>6</v>
      </c>
      <c r="EK2" s="7" t="s">
        <v>11</v>
      </c>
      <c r="EL2" s="7" t="s">
        <v>8</v>
      </c>
      <c r="EM2" s="7" t="s">
        <v>9</v>
      </c>
      <c r="EN2" s="8" t="s">
        <v>10</v>
      </c>
      <c r="EO2" s="3" t="s">
        <v>4</v>
      </c>
      <c r="EP2" s="3" t="s">
        <v>5</v>
      </c>
      <c r="EQ2" s="3" t="s">
        <v>6</v>
      </c>
      <c r="ER2" s="9" t="s">
        <v>3</v>
      </c>
      <c r="ES2" s="9" t="s">
        <v>4</v>
      </c>
      <c r="ET2" s="9" t="s">
        <v>5</v>
      </c>
      <c r="EU2" s="9" t="s">
        <v>6</v>
      </c>
      <c r="EV2" s="9" t="s">
        <v>11</v>
      </c>
      <c r="EW2" s="9" t="s">
        <v>8</v>
      </c>
      <c r="EX2" s="9" t="s">
        <v>9</v>
      </c>
      <c r="EY2" s="10" t="s">
        <v>10</v>
      </c>
      <c r="EZ2" s="3" t="s">
        <v>4</v>
      </c>
      <c r="FA2" s="3" t="s">
        <v>5</v>
      </c>
      <c r="FB2" s="3" t="s">
        <v>6</v>
      </c>
      <c r="FC2" s="7" t="s">
        <v>3</v>
      </c>
      <c r="FD2" s="7" t="s">
        <v>4</v>
      </c>
      <c r="FE2" s="7" t="s">
        <v>5</v>
      </c>
      <c r="FF2" s="7" t="s">
        <v>6</v>
      </c>
      <c r="FG2" s="7" t="s">
        <v>11</v>
      </c>
      <c r="FH2" s="7" t="s">
        <v>8</v>
      </c>
      <c r="FI2" s="7" t="s">
        <v>9</v>
      </c>
      <c r="FJ2" s="8" t="s">
        <v>10</v>
      </c>
      <c r="FK2" s="3" t="s">
        <v>4</v>
      </c>
      <c r="FL2" s="3" t="s">
        <v>5</v>
      </c>
      <c r="FM2" s="3" t="s">
        <v>6</v>
      </c>
      <c r="FN2" s="9" t="s">
        <v>3</v>
      </c>
      <c r="FO2" s="9" t="s">
        <v>4</v>
      </c>
      <c r="FP2" s="9" t="s">
        <v>5</v>
      </c>
      <c r="FQ2" s="9" t="s">
        <v>6</v>
      </c>
      <c r="FR2" s="9" t="s">
        <v>11</v>
      </c>
      <c r="FS2" s="9" t="s">
        <v>8</v>
      </c>
      <c r="FT2" s="9" t="s">
        <v>9</v>
      </c>
      <c r="FU2" s="10" t="s">
        <v>10</v>
      </c>
      <c r="FV2" s="3" t="s">
        <v>4</v>
      </c>
      <c r="FW2" s="3" t="s">
        <v>5</v>
      </c>
      <c r="FX2" s="3" t="s">
        <v>6</v>
      </c>
      <c r="FY2" s="7" t="s">
        <v>3</v>
      </c>
      <c r="FZ2" s="7" t="s">
        <v>4</v>
      </c>
      <c r="GA2" s="7" t="s">
        <v>5</v>
      </c>
      <c r="GB2" s="7" t="s">
        <v>6</v>
      </c>
      <c r="GC2" s="7" t="s">
        <v>11</v>
      </c>
      <c r="GD2" s="7" t="s">
        <v>8</v>
      </c>
      <c r="GE2" s="7" t="s">
        <v>12</v>
      </c>
      <c r="GF2" s="8" t="s">
        <v>10</v>
      </c>
      <c r="GG2" s="11" t="s">
        <v>4</v>
      </c>
      <c r="GH2" s="11" t="s">
        <v>5</v>
      </c>
      <c r="GI2" s="11" t="s">
        <v>6</v>
      </c>
      <c r="GJ2" s="9" t="s">
        <v>3</v>
      </c>
      <c r="GK2" s="9" t="s">
        <v>4</v>
      </c>
      <c r="GL2" s="9" t="s">
        <v>5</v>
      </c>
      <c r="GM2" s="9" t="s">
        <v>6</v>
      </c>
      <c r="GN2" s="9" t="s">
        <v>11</v>
      </c>
      <c r="GO2" s="9" t="s">
        <v>8</v>
      </c>
      <c r="GP2" s="9" t="s">
        <v>12</v>
      </c>
      <c r="GQ2" s="10" t="s">
        <v>10</v>
      </c>
      <c r="GR2" s="11" t="s">
        <v>4</v>
      </c>
      <c r="GS2" s="11" t="s">
        <v>5</v>
      </c>
      <c r="GT2" s="11" t="s">
        <v>6</v>
      </c>
    </row>
    <row r="3" customFormat="false" ht="14.9" hidden="false" customHeight="false" outlineLevel="0" collapsed="false">
      <c r="A3" s="12" t="n">
        <v>625</v>
      </c>
      <c r="B3" s="13" t="s">
        <v>13</v>
      </c>
      <c r="C3" s="6" t="n">
        <v>43586</v>
      </c>
      <c r="D3" s="14" t="e">
        <f aca="false">INDEX(#ref!,MATCH('HR '!A3,#ref!,0))</f>
        <v>#NAME?</v>
      </c>
      <c r="E3" s="14" t="e">
        <f aca="false">INDEX(#ref!,MATCH('HR '!$A3,#ref!,0))</f>
        <v>#NAME?</v>
      </c>
      <c r="F3" s="14" t="e">
        <f aca="false">INDEX(#ref!,MATCH('HR '!$A3,#ref!,0))</f>
        <v>#NAME?</v>
      </c>
      <c r="G3" s="14" t="s">
        <v>14</v>
      </c>
      <c r="H3" s="15" t="s">
        <v>15</v>
      </c>
      <c r="I3" s="14" t="e">
        <f aca="false">IF(ISNUMBER(SEARCH("Yes",H3)),F3,"")</f>
        <v>#NAME?</v>
      </c>
      <c r="J3" s="14" t="str">
        <f aca="false">IF(ISNUMBER(SEARCH("Yes",F3)),D3,"")</f>
        <v/>
      </c>
      <c r="K3" s="16" t="n">
        <v>43617</v>
      </c>
      <c r="L3" s="14" t="e">
        <f aca="false">INDEX(#ref!,MATCH('HR '!$A3,#ref!,0))</f>
        <v>#NAME?</v>
      </c>
      <c r="M3" s="14" t="e">
        <f aca="false">INDEX(#ref!,MATCH('HR '!$A3,#ref!,0))</f>
        <v>#NAME?</v>
      </c>
      <c r="N3" s="14" t="e">
        <f aca="false">INDEX(#ref!,MATCH('HR '!$A3,#ref!,0))</f>
        <v>#NAME?</v>
      </c>
      <c r="O3" s="17" t="str">
        <f aca="false">H3</f>
        <v>Yes</v>
      </c>
      <c r="P3" s="17" t="e">
        <f aca="false">IF(N3&gt;99.99,"Yes","No")</f>
        <v>#NAME?</v>
      </c>
      <c r="Q3" s="18"/>
      <c r="R3" s="14" t="s">
        <v>16</v>
      </c>
      <c r="S3" s="6" t="n">
        <v>43647</v>
      </c>
      <c r="T3" s="14" t="e">
        <f aca="false">INDEX(#ref!,MATCH('HR '!$A3,#ref!,0))</f>
        <v>#NAME?</v>
      </c>
      <c r="U3" s="14" t="e">
        <f aca="false">INDEX(#ref!,MATCH('HR '!$A3,#ref!,0))</f>
        <v>#NAME?</v>
      </c>
      <c r="V3" s="19" t="e">
        <f aca="false">INDEX(#ref!,MATCH('HR '!$A3,#ref!,0))</f>
        <v>#NAME?</v>
      </c>
      <c r="W3" s="17" t="e">
        <f aca="false">P3</f>
        <v>#NAME?</v>
      </c>
      <c r="X3" s="20" t="s">
        <v>17</v>
      </c>
      <c r="Y3" s="14" t="str">
        <f aca="false">IF(ISNUMBER(SEARCH("Yes",X3)),V3,"")</f>
        <v/>
      </c>
      <c r="Z3" s="21" t="s">
        <v>18</v>
      </c>
      <c r="AA3" s="16" t="n">
        <v>43678</v>
      </c>
      <c r="AB3" s="14" t="e">
        <f aca="false">INDEX(#ref!,MATCH('HR '!$A3,#ref!,0))</f>
        <v>#NAME?</v>
      </c>
      <c r="AC3" s="14" t="e">
        <f aca="false">INDEX(#ref!,MATCH('HR '!$A3,#ref!,0))</f>
        <v>#NAME?</v>
      </c>
      <c r="AD3" s="14" t="e">
        <f aca="false">INDEX(#ref!,MATCH('HR '!$A3,#ref!,0))</f>
        <v>#NAME?</v>
      </c>
      <c r="AE3" s="17" t="str">
        <f aca="false">X3</f>
        <v>No</v>
      </c>
      <c r="AF3" s="17" t="e">
        <f aca="false">IF(AD3&gt;99.99,"Yes","No")</f>
        <v>#NAME?</v>
      </c>
      <c r="AG3" s="14" t="e">
        <f aca="false">SUM(N3+V3+AD3)</f>
        <v>#NAME?</v>
      </c>
      <c r="AH3" s="22" t="s">
        <v>19</v>
      </c>
      <c r="AI3" s="23" t="e">
        <f aca="false">SUM(L3+T3+AB3)</f>
        <v>#NAME?</v>
      </c>
      <c r="AJ3" s="23" t="e">
        <f aca="false">SUM(M3+U3+AC3)</f>
        <v>#NAME?</v>
      </c>
      <c r="AK3" s="23" t="e">
        <f aca="false">SUM(N3+V3+AD3)</f>
        <v>#NAME?</v>
      </c>
      <c r="AL3" s="6" t="n">
        <v>43709</v>
      </c>
      <c r="AM3" s="14" t="e">
        <f aca="false">INDEX(#ref!,MATCH('HR '!$A3,#ref!,0))</f>
        <v>#NAME?</v>
      </c>
      <c r="AN3" s="14" t="e">
        <f aca="false">INDEX(#ref!,MATCH('HR '!$A3,#ref!,0))</f>
        <v>#NAME?</v>
      </c>
      <c r="AO3" s="14" t="e">
        <f aca="false">INDEX(#ref!,MATCH('HR '!$A3,#ref!,0))</f>
        <v>#NAME?</v>
      </c>
      <c r="AP3" s="17" t="e">
        <f aca="false">AF3</f>
        <v>#NAME?</v>
      </c>
      <c r="AQ3" s="17" t="e">
        <f aca="false">IF(AO3&gt;99.99,"Yes","No")</f>
        <v>#NAME?</v>
      </c>
      <c r="AR3" s="14" t="str">
        <f aca="false">IF(ISNUMBER(SEARCH("Yes",AQ3)),AO3,"")</f>
        <v/>
      </c>
      <c r="AS3" s="23" t="s">
        <v>16</v>
      </c>
      <c r="AT3" s="23"/>
      <c r="AU3" s="23"/>
      <c r="AV3" s="23"/>
      <c r="AW3" s="16" t="n">
        <v>43739</v>
      </c>
      <c r="AX3" s="14" t="e">
        <f aca="false">#N/A</f>
        <v>#N/A</v>
      </c>
      <c r="AY3" s="14" t="e">
        <f aca="false">INDEX(#ref!,MATCH('HR '!$A3,#ref!,0))</f>
        <v>#NAME?</v>
      </c>
      <c r="AZ3" s="14" t="e">
        <f aca="false">INDEX(#ref!,MATCH('HR '!$A3,#ref!,0))</f>
        <v>#NAME?</v>
      </c>
      <c r="BA3" s="17" t="e">
        <f aca="false">AQ3</f>
        <v>#NAME?</v>
      </c>
      <c r="BB3" s="17" t="e">
        <f aca="false">IF(AZ3&gt;99.99,"Yes","No")</f>
        <v>#NAME?</v>
      </c>
      <c r="BC3" s="14" t="str">
        <f aca="false">IF(ISNUMBER(SEARCH("Yes",BB3)),AZ3,"")</f>
        <v/>
      </c>
      <c r="BD3" s="24" t="s">
        <v>20</v>
      </c>
      <c r="BE3" s="23"/>
      <c r="BF3" s="23"/>
      <c r="BG3" s="23"/>
      <c r="BH3" s="6" t="n">
        <v>43770</v>
      </c>
      <c r="BI3" s="14" t="e">
        <f aca="false">INDEX(#ref!,MATCH('HR '!$A3,#ref!,0))</f>
        <v>#NAME?</v>
      </c>
      <c r="BJ3" s="14" t="e">
        <f aca="false">INDEX(#ref!,MATCH('HR '!$A3,#ref!,0))</f>
        <v>#NAME?</v>
      </c>
      <c r="BK3" s="14" t="e">
        <f aca="false">INDEX(#ref!,MATCH('HR '!$A3,#ref!,0))</f>
        <v>#NAME?</v>
      </c>
      <c r="BL3" s="17" t="e">
        <f aca="false">BB3</f>
        <v>#NAME?</v>
      </c>
      <c r="BM3" s="17" t="s">
        <v>15</v>
      </c>
      <c r="BN3" s="14" t="e">
        <f aca="false">BR3</f>
        <v>#NAME?</v>
      </c>
      <c r="BO3" s="25" t="s">
        <v>21</v>
      </c>
      <c r="BP3" s="26" t="e">
        <f aca="false">AM3+AX3+BI3</f>
        <v>#N/A</v>
      </c>
      <c r="BQ3" s="26" t="e">
        <f aca="false">AN3+AY3+BJ3</f>
        <v>#NAME?</v>
      </c>
      <c r="BR3" s="26" t="e">
        <f aca="false">AO3+AZ3+BK3</f>
        <v>#NAME?</v>
      </c>
      <c r="BS3" s="16" t="n">
        <v>43800</v>
      </c>
      <c r="BT3" s="14" t="e">
        <f aca="false">INDEX(#ref!,MATCH('HR '!$A3,#ref!,0))</f>
        <v>#NAME?</v>
      </c>
      <c r="BU3" s="14" t="e">
        <f aca="false">INDEX(#ref!,MATCH('HR '!$A3,#ref!,0))</f>
        <v>#NAME?</v>
      </c>
      <c r="BV3" s="14" t="e">
        <f aca="false">INDEX(#ref!,MATCH('HR '!$A3,#ref!,0))</f>
        <v>#NAME?</v>
      </c>
      <c r="BW3" s="17" t="str">
        <f aca="false">BM3</f>
        <v>Yes</v>
      </c>
      <c r="BX3" s="17" t="e">
        <f aca="false">IF(BV3&gt;99.99,"Yes","No")</f>
        <v>#NAME?</v>
      </c>
      <c r="BY3" s="14" t="str">
        <f aca="false">IF(ISNUMBER(SEARCH("Yes",BX3)),BV3,"")</f>
        <v/>
      </c>
      <c r="BZ3" s="24" t="s">
        <v>16</v>
      </c>
      <c r="CA3" s="23"/>
      <c r="CB3" s="23"/>
      <c r="CC3" s="23"/>
      <c r="CD3" s="6" t="n">
        <v>43831</v>
      </c>
      <c r="CE3" s="14" t="e">
        <f aca="false">INDEX(#ref!,MATCH('HR '!$A3,#ref!,0))</f>
        <v>#NAME?</v>
      </c>
      <c r="CF3" s="14" t="e">
        <f aca="false">INDEX(#ref!,MATCH('HR '!$A3,#ref!,0))</f>
        <v>#NAME?</v>
      </c>
      <c r="CG3" s="14" t="e">
        <f aca="false">INDEX(#ref!,MATCH('HR '!$A3,#ref!,0))</f>
        <v>#NAME?</v>
      </c>
      <c r="CH3" s="17" t="e">
        <f aca="false">BX3</f>
        <v>#NAME?</v>
      </c>
      <c r="CI3" s="17" t="e">
        <f aca="false">IF(CG3&gt;99.99,"Yes","No")</f>
        <v>#NAME?</v>
      </c>
      <c r="CJ3" s="14"/>
      <c r="CK3" s="23" t="s">
        <v>20</v>
      </c>
      <c r="CL3" s="26"/>
      <c r="CM3" s="26"/>
      <c r="CN3" s="26"/>
      <c r="CO3" s="16" t="n">
        <v>43862</v>
      </c>
      <c r="CP3" s="14" t="e">
        <f aca="false">INDEX(#ref!,MATCH('HR '!$A3,#ref!,0))</f>
        <v>#NAME?</v>
      </c>
      <c r="CQ3" s="14" t="e">
        <f aca="false">INDEX(#ref!,MATCH('HR '!$A3,#ref!,0))</f>
        <v>#NAME?</v>
      </c>
      <c r="CR3" s="14" t="e">
        <f aca="false">INDEX(#ref!,MATCH('HR '!$A3,#ref!,0))</f>
        <v>#NAME?</v>
      </c>
      <c r="CS3" s="17" t="e">
        <f aca="false">CI3</f>
        <v>#NAME?</v>
      </c>
      <c r="CT3" s="17" t="s">
        <v>15</v>
      </c>
      <c r="CU3" s="14" t="e">
        <f aca="false">CY3</f>
        <v>#NAME?</v>
      </c>
      <c r="CV3" s="27" t="s">
        <v>22</v>
      </c>
      <c r="CW3" s="23" t="e">
        <f aca="false">BT3+CE3+CP3</f>
        <v>#NAME?</v>
      </c>
      <c r="CX3" s="23" t="e">
        <f aca="false">BU3+CF3+CQ3</f>
        <v>#NAME?</v>
      </c>
      <c r="CY3" s="23" t="e">
        <f aca="false">BV3+CG3+CR3</f>
        <v>#NAME?</v>
      </c>
      <c r="CZ3" s="6" t="n">
        <v>43891</v>
      </c>
      <c r="DA3" s="14" t="e">
        <f aca="false">INDEX(#ref!,MATCH('HR '!$A3,#ref!,0))</f>
        <v>#NAME?</v>
      </c>
      <c r="DB3" s="14" t="e">
        <f aca="false">INDEX(#ref!,MATCH('HR '!$A3,#ref!,0))</f>
        <v>#NAME?</v>
      </c>
      <c r="DC3" s="14" t="e">
        <f aca="false">INDEX(#ref!,MATCH('HR '!$A3,#ref!,0))</f>
        <v>#NAME?</v>
      </c>
      <c r="DD3" s="17" t="str">
        <f aca="false">CT3</f>
        <v>Yes</v>
      </c>
      <c r="DE3" s="17" t="e">
        <f aca="false">IF(DC3&gt;99.99,"Yes","No")</f>
        <v>#NAME?</v>
      </c>
      <c r="DF3" s="14" t="n">
        <f aca="false">DJ3</f>
        <v>0</v>
      </c>
      <c r="DG3" s="28" t="s">
        <v>16</v>
      </c>
      <c r="DH3" s="23"/>
      <c r="DI3" s="23"/>
      <c r="DJ3" s="23"/>
      <c r="DK3" s="16" t="n">
        <v>43922</v>
      </c>
      <c r="DL3" s="14" t="e">
        <f aca="false">INDEX(#ref!,MATCH('HR '!$A3,#ref!,0))</f>
        <v>#NAME?</v>
      </c>
      <c r="DM3" s="14" t="e">
        <f aca="false">INDEX(#ref!,MATCH('HR '!$A3,#ref!,0))</f>
        <v>#NAME?</v>
      </c>
      <c r="DN3" s="14" t="e">
        <f aca="false">INDEX(#ref!,MATCH('HR '!$A3,#ref!,0))</f>
        <v>#NAME?</v>
      </c>
      <c r="DO3" s="17" t="e">
        <f aca="false">DE3</f>
        <v>#NAME?</v>
      </c>
      <c r="DP3" s="17" t="e">
        <f aca="false">IF(DN3&gt;99.99,"Yes","No")</f>
        <v>#NAME?</v>
      </c>
      <c r="DQ3" s="14" t="str">
        <f aca="false">IF(ISNUMBER(SEARCH("Yes",DP3)),DN3,"")</f>
        <v/>
      </c>
      <c r="DR3" s="28" t="s">
        <v>20</v>
      </c>
      <c r="DS3" s="23"/>
      <c r="DT3" s="23"/>
      <c r="DU3" s="23"/>
      <c r="DV3" s="6" t="n">
        <v>43952</v>
      </c>
      <c r="DW3" s="14" t="e">
        <f aca="false">INDEX(#ref!,MATCH('HR '!$A3,#ref!,0))</f>
        <v>#NAME?</v>
      </c>
      <c r="DX3" s="14" t="e">
        <f aca="false">INDEX(#ref!,MATCH('HR '!$A3,#ref!,0))</f>
        <v>#NAME?</v>
      </c>
      <c r="DY3" s="19" t="e">
        <f aca="false">INDEX(#ref!,MATCH('HR '!$A3,#ref!,0))</f>
        <v>#NAME?</v>
      </c>
      <c r="DZ3" s="17" t="e">
        <f aca="false">DP3</f>
        <v>#NAME?</v>
      </c>
      <c r="EA3" s="17" t="s">
        <v>15</v>
      </c>
      <c r="EB3" s="14"/>
      <c r="EC3" s="29" t="s">
        <v>23</v>
      </c>
      <c r="ED3" s="26" t="e">
        <f aca="false">SUM(DA3+DL3+DW3)</f>
        <v>#NAME?</v>
      </c>
      <c r="EE3" s="26" t="e">
        <f aca="false">SUM(DB3+DM3+DX3)</f>
        <v>#NAME?</v>
      </c>
      <c r="EF3" s="26" t="e">
        <f aca="false">SUM(DC3+DN3+DY3)</f>
        <v>#NAME?</v>
      </c>
      <c r="EG3" s="16" t="n">
        <v>43983</v>
      </c>
      <c r="EH3" s="14" t="e">
        <f aca="false">INDEX(#ref!,MATCH('HR '!$A3,#ref!,0))</f>
        <v>#NAME?</v>
      </c>
      <c r="EI3" s="14" t="e">
        <f aca="false">INDEX(#ref!,MATCH('HR '!$A3,#ref!,0))</f>
        <v>#NAME?</v>
      </c>
      <c r="EJ3" s="14" t="e">
        <f aca="false">INDEX(#ref!,MATCH('HR '!$A3,#ref!,0))</f>
        <v>#NAME?</v>
      </c>
      <c r="EK3" s="17" t="str">
        <f aca="false">EA3</f>
        <v>Yes</v>
      </c>
      <c r="EL3" s="17" t="e">
        <f aca="false">IF(EJ3&gt;99.99,"Yes","No")</f>
        <v>#NAME?</v>
      </c>
      <c r="EM3" s="14" t="str">
        <f aca="false">IF(ISNUMBER(SEARCH("Yes",EL3)),EJ3,"")</f>
        <v/>
      </c>
      <c r="EN3" s="28" t="s">
        <v>16</v>
      </c>
      <c r="EO3" s="26"/>
      <c r="EP3" s="26"/>
      <c r="EQ3" s="26"/>
      <c r="ER3" s="6" t="n">
        <v>44013</v>
      </c>
      <c r="ES3" s="14" t="e">
        <f aca="false">INDEX(#ref!,MATCH('HR '!$A3,#ref!,0))</f>
        <v>#NAME?</v>
      </c>
      <c r="ET3" s="14" t="e">
        <f aca="false">INDEX(#ref!,MATCH('HR '!$A3,#ref!,0))</f>
        <v>#NAME?</v>
      </c>
      <c r="EU3" s="14" t="e">
        <f aca="false">INDEX(#ref!,MATCH('HR '!$A3,#ref!,0))</f>
        <v>#NAME?</v>
      </c>
      <c r="EV3" s="17" t="e">
        <f aca="false">EL3</f>
        <v>#NAME?</v>
      </c>
      <c r="EW3" s="17" t="e">
        <f aca="false">IF(EU3&gt;99.99,"Yes","No")</f>
        <v>#NAME?</v>
      </c>
      <c r="EX3" s="14"/>
      <c r="EY3" s="30" t="s">
        <v>20</v>
      </c>
      <c r="EZ3" s="26"/>
      <c r="FA3" s="26"/>
      <c r="FB3" s="26"/>
      <c r="FC3" s="16" t="n">
        <v>44044</v>
      </c>
      <c r="FD3" s="14" t="e">
        <f aca="false">INDEX(#ref!,MATCH('HR '!$A3,#ref!,0))</f>
        <v>#NAME?</v>
      </c>
      <c r="FE3" s="14" t="e">
        <f aca="false">INDEX(#ref!,MATCH('HR '!$A3,#ref!,0))</f>
        <v>#NAME?</v>
      </c>
      <c r="FF3" s="14" t="e">
        <f aca="false">INDEX(#ref!,MATCH('HR '!$A3,#ref!,0))</f>
        <v>#NAME?</v>
      </c>
      <c r="FG3" s="17" t="e">
        <f aca="false">EW3</f>
        <v>#NAME?</v>
      </c>
      <c r="FH3" s="17" t="s">
        <v>15</v>
      </c>
      <c r="FI3" s="25" t="s">
        <v>23</v>
      </c>
      <c r="FJ3" s="25" t="s">
        <v>23</v>
      </c>
      <c r="FK3" s="26" t="e">
        <f aca="false">SUM(EH3,ES3,FD3)</f>
        <v>#NAME?</v>
      </c>
      <c r="FL3" s="26" t="e">
        <f aca="false">SUM(EI3,ET3,FE3)</f>
        <v>#NAME?</v>
      </c>
      <c r="FM3" s="26" t="e">
        <f aca="false">SUM(EJ3,EU3,FF3)</f>
        <v>#NAME?</v>
      </c>
      <c r="FN3" s="6" t="n">
        <v>44075</v>
      </c>
      <c r="FO3" s="14" t="e">
        <f aca="false">INDEX(#ref!,MATCH('HR '!$A3,#ref!,0))</f>
        <v>#NAME?</v>
      </c>
      <c r="FP3" s="14" t="e">
        <f aca="false">INDEX(#ref!,MATCH('HR '!$A3,#ref!,0))</f>
        <v>#NAME?</v>
      </c>
      <c r="FQ3" s="14" t="e">
        <f aca="false">INDEX(#ref!,MATCH('HR '!$A3,#ref!,0))</f>
        <v>#NAME?</v>
      </c>
      <c r="FR3" s="17" t="str">
        <f aca="false">FH3</f>
        <v>Yes</v>
      </c>
      <c r="FS3" s="31" t="e">
        <f aca="false">IF(FQ3&gt;99.99,"Yes","No")</f>
        <v>#NAME?</v>
      </c>
      <c r="FT3" s="32"/>
      <c r="FU3" s="30" t="s">
        <v>16</v>
      </c>
      <c r="FV3" s="26"/>
      <c r="FW3" s="26"/>
      <c r="FX3" s="26"/>
      <c r="FY3" s="33" t="n">
        <v>44287</v>
      </c>
      <c r="FZ3" s="14" t="n">
        <v>11.55019338</v>
      </c>
      <c r="GA3" s="14" t="n">
        <v>95.6934</v>
      </c>
      <c r="GB3" s="14" t="n">
        <v>107.24359338</v>
      </c>
      <c r="GC3" s="17" t="e">
        <f aca="false">#ref!</f>
        <v>#NAME?</v>
      </c>
      <c r="GD3" s="31" t="str">
        <f aca="false">IF(GB3&gt;99.99,"Yes","No")</f>
        <v>Yes</v>
      </c>
      <c r="GE3" s="34" t="s">
        <v>20</v>
      </c>
      <c r="GF3" s="34" t="s">
        <v>24</v>
      </c>
      <c r="GG3" s="35" t="e">
        <f aca="false">SUM(#ref!,FZ3)</f>
        <v>#NAME?</v>
      </c>
      <c r="GH3" s="35" t="e">
        <f aca="false">SUM(#ref!,GA3)</f>
        <v>#NAME?</v>
      </c>
      <c r="GI3" s="35" t="e">
        <f aca="false">SUM(#ref!,GB3)</f>
        <v>#NAME?</v>
      </c>
      <c r="GJ3" s="36" t="n">
        <v>44317</v>
      </c>
      <c r="GK3" s="14" t="n">
        <f aca="false">INDEX('[1]May 2021'!$L$2:$L$29,MATCH('HR '!$A3,'[1]May 2021'!$A$2:$A$29,0))</f>
        <v>11.55019338</v>
      </c>
      <c r="GL3" s="14" t="n">
        <f aca="false">INDEX('[1]May 2021'!$M$2:$M$29,MATCH('HR '!$A3,'[1]May 2021'!$A$2:$A$29,0))</f>
        <v>95.6934</v>
      </c>
      <c r="GM3" s="14" t="n">
        <f aca="false">INDEX('[1]May 2021'!$N$2:$N$29,MATCH('HR '!$A3,'[1]May 2021'!$A$2:$A$29,0))</f>
        <v>107.24359338</v>
      </c>
      <c r="GN3" s="17" t="str">
        <f aca="false">GD3</f>
        <v>Yes</v>
      </c>
      <c r="GO3" s="31" t="str">
        <f aca="false">IF(GM3&gt;99.99,"Yes","No")</f>
        <v>Yes</v>
      </c>
      <c r="GP3" s="14" t="n">
        <f aca="false">IF(ISNUMBER(SEARCH("Yes",GO3)),GM3,"")</f>
        <v>107.24359338</v>
      </c>
      <c r="GQ3" s="37"/>
      <c r="GR3" s="38"/>
      <c r="GS3" s="38"/>
      <c r="GT3" s="38"/>
    </row>
    <row r="4" customFormat="false" ht="14.9" hidden="false" customHeight="false" outlineLevel="0" collapsed="false">
      <c r="A4" s="12" t="n">
        <v>796</v>
      </c>
      <c r="B4" s="13" t="s">
        <v>25</v>
      </c>
      <c r="C4" s="6" t="n">
        <v>43586</v>
      </c>
      <c r="D4" s="14" t="e">
        <f aca="false">INDEX(#ref!,MATCH('HR '!A4,#ref!,0))</f>
        <v>#NAME?</v>
      </c>
      <c r="E4" s="14" t="e">
        <f aca="false">INDEX(#ref!,MATCH('HR '!$A4,#ref!,0))</f>
        <v>#NAME?</v>
      </c>
      <c r="F4" s="14" t="e">
        <f aca="false">INDEX(#ref!,MATCH('HR '!$A4,#ref!,0))</f>
        <v>#NAME?</v>
      </c>
      <c r="G4" s="14" t="s">
        <v>14</v>
      </c>
      <c r="H4" s="15" t="s">
        <v>15</v>
      </c>
      <c r="I4" s="14" t="e">
        <f aca="false">IF(ISNUMBER(SEARCH("Yes",H4)),F4,"")</f>
        <v>#NAME?</v>
      </c>
      <c r="J4" s="14"/>
      <c r="K4" s="16" t="n">
        <v>43617</v>
      </c>
      <c r="L4" s="14" t="e">
        <f aca="false">INDEX(#ref!,MATCH('HR '!$A4,#ref!,0))</f>
        <v>#NAME?</v>
      </c>
      <c r="M4" s="14" t="e">
        <f aca="false">INDEX(#ref!,MATCH('HR '!$A4,#ref!,0))</f>
        <v>#NAME?</v>
      </c>
      <c r="N4" s="14" t="e">
        <f aca="false">INDEX(#ref!,MATCH('HR '!$A4,#ref!,0))</f>
        <v>#NAME?</v>
      </c>
      <c r="O4" s="17" t="str">
        <f aca="false">H4</f>
        <v>Yes</v>
      </c>
      <c r="P4" s="17" t="e">
        <f aca="false">IF(N4&gt;99.99,"Yes","No")</f>
        <v>#NAME?</v>
      </c>
      <c r="Q4" s="14" t="str">
        <f aca="false">IF(ISNUMBER(SEARCH("Yes",P4)),N4,"")</f>
        <v/>
      </c>
      <c r="R4" s="14"/>
      <c r="S4" s="6" t="n">
        <v>43647</v>
      </c>
      <c r="T4" s="14" t="e">
        <f aca="false">INDEX(#ref!,MATCH('HR '!$A4,#ref!,0))</f>
        <v>#NAME?</v>
      </c>
      <c r="U4" s="14" t="e">
        <f aca="false">INDEX(#ref!,MATCH('HR '!$A4,#ref!,0))</f>
        <v>#NAME?</v>
      </c>
      <c r="V4" s="14" t="e">
        <f aca="false">INDEX(#ref!,MATCH('HR '!$A4,#ref!,0))</f>
        <v>#NAME?</v>
      </c>
      <c r="W4" s="17" t="e">
        <f aca="false">P4</f>
        <v>#NAME?</v>
      </c>
      <c r="X4" s="17" t="e">
        <f aca="false">IF(V4&gt;99.99,"Yes","No")</f>
        <v>#NAME?</v>
      </c>
      <c r="Y4" s="14" t="str">
        <f aca="false">IF(ISNUMBER(SEARCH("Yes",X4)),V4,"")</f>
        <v/>
      </c>
      <c r="Z4" s="14"/>
      <c r="AA4" s="16" t="n">
        <v>43678</v>
      </c>
      <c r="AB4" s="14" t="e">
        <f aca="false">INDEX(#ref!,MATCH('HR '!$A4,#ref!,0))</f>
        <v>#NAME?</v>
      </c>
      <c r="AC4" s="14" t="e">
        <f aca="false">INDEX(#ref!,MATCH('HR '!$A4,#ref!,0))</f>
        <v>#NAME?</v>
      </c>
      <c r="AD4" s="14" t="e">
        <f aca="false">INDEX(#ref!,MATCH('HR '!$A4,#ref!,0))</f>
        <v>#NAME?</v>
      </c>
      <c r="AE4" s="17" t="e">
        <f aca="false">X4</f>
        <v>#NAME?</v>
      </c>
      <c r="AF4" s="17" t="e">
        <f aca="false">IF(AD4&gt;99.99,"Yes","No")</f>
        <v>#NAME?</v>
      </c>
      <c r="AG4" s="14" t="str">
        <f aca="false">IF(ISNUMBER(SEARCH("Yes",AF4)),AD4,"")</f>
        <v/>
      </c>
      <c r="AH4" s="23"/>
      <c r="AI4" s="23"/>
      <c r="AJ4" s="23"/>
      <c r="AK4" s="23"/>
      <c r="AL4" s="6" t="n">
        <v>43709</v>
      </c>
      <c r="AM4" s="14" t="e">
        <f aca="false">INDEX(#ref!,MATCH('HR '!$A4,#ref!,0))</f>
        <v>#NAME?</v>
      </c>
      <c r="AN4" s="14" t="e">
        <f aca="false">INDEX(#ref!,MATCH('HR '!$A4,#ref!,0))</f>
        <v>#NAME?</v>
      </c>
      <c r="AO4" s="14" t="e">
        <f aca="false">INDEX(#ref!,MATCH('HR '!$A4,#ref!,0))</f>
        <v>#NAME?</v>
      </c>
      <c r="AP4" s="17" t="e">
        <f aca="false">AF4</f>
        <v>#NAME?</v>
      </c>
      <c r="AQ4" s="17" t="e">
        <f aca="false">IF(AO4&gt;99.99,"Yes","No")</f>
        <v>#NAME?</v>
      </c>
      <c r="AR4" s="14" t="str">
        <f aca="false">IF(ISNUMBER(SEARCH("Yes",AQ4)),AO4,"")</f>
        <v/>
      </c>
      <c r="AS4" s="23"/>
      <c r="AT4" s="23"/>
      <c r="AU4" s="23"/>
      <c r="AV4" s="23"/>
      <c r="AW4" s="16" t="n">
        <f aca="false">AW3</f>
        <v>43739</v>
      </c>
      <c r="AX4" s="14" t="e">
        <f aca="false">INDEX(#ref!,MATCH('HR '!$A4,#ref!,0))</f>
        <v>#NAME?</v>
      </c>
      <c r="AY4" s="14" t="e">
        <f aca="false">INDEX(#ref!,MATCH('HR '!$A4,#ref!,0))</f>
        <v>#NAME?</v>
      </c>
      <c r="AZ4" s="14" t="e">
        <f aca="false">INDEX(#ref!,MATCH('HR '!$A4,#ref!,0))</f>
        <v>#NAME?</v>
      </c>
      <c r="BA4" s="17" t="e">
        <f aca="false">AQ4</f>
        <v>#NAME?</v>
      </c>
      <c r="BB4" s="17" t="e">
        <f aca="false">IF(AZ4&gt;99.99,"Yes","No")</f>
        <v>#NAME?</v>
      </c>
      <c r="BC4" s="14" t="str">
        <f aca="false">IF(ISNUMBER(SEARCH("Yes",BB4)),AZ4,"")</f>
        <v/>
      </c>
      <c r="BD4" s="28" t="s">
        <v>14</v>
      </c>
      <c r="BE4" s="23"/>
      <c r="BF4" s="23"/>
      <c r="BG4" s="23"/>
      <c r="BH4" s="6" t="n">
        <v>43770</v>
      </c>
      <c r="BI4" s="14" t="e">
        <f aca="false">INDEX(#ref!,MATCH('HR '!$A4,#ref!,0))</f>
        <v>#NAME?</v>
      </c>
      <c r="BJ4" s="14" t="e">
        <f aca="false">INDEX(#ref!,MATCH('HR '!$A4,#ref!,0))</f>
        <v>#NAME?</v>
      </c>
      <c r="BK4" s="14" t="e">
        <f aca="false">INDEX(#ref!,MATCH('HR '!$A4,#ref!,0))</f>
        <v>#NAME?</v>
      </c>
      <c r="BL4" s="17" t="e">
        <f aca="false">BB4</f>
        <v>#NAME?</v>
      </c>
      <c r="BM4" s="17" t="e">
        <f aca="false">IF(BK4&gt;99.99,"Yes","No")</f>
        <v>#NAME?</v>
      </c>
      <c r="BN4" s="14" t="str">
        <f aca="false">IF(ISNUMBER(SEARCH("Yes",BM4)),BK4,"")</f>
        <v/>
      </c>
      <c r="BO4" s="23" t="s">
        <v>14</v>
      </c>
      <c r="BP4" s="26"/>
      <c r="BQ4" s="26"/>
      <c r="BR4" s="26"/>
      <c r="BS4" s="16" t="n">
        <f aca="false">BS3</f>
        <v>43800</v>
      </c>
      <c r="BT4" s="14" t="e">
        <f aca="false">INDEX(#ref!,MATCH('HR '!$A4,#ref!,0))</f>
        <v>#NAME?</v>
      </c>
      <c r="BU4" s="14" t="e">
        <f aca="false">INDEX(#ref!,MATCH('HR '!$A4,#ref!,0))</f>
        <v>#NAME?</v>
      </c>
      <c r="BV4" s="14" t="e">
        <f aca="false">INDEX(#ref!,MATCH('HR '!$A4,#ref!,0))</f>
        <v>#NAME?</v>
      </c>
      <c r="BW4" s="17" t="e">
        <f aca="false">BM4</f>
        <v>#NAME?</v>
      </c>
      <c r="BX4" s="17" t="e">
        <f aca="false">IF(BV4&gt;99.99,"Yes","No")</f>
        <v>#NAME?</v>
      </c>
      <c r="BY4" s="14" t="str">
        <f aca="false">IF(ISNUMBER(SEARCH("Yes",BX4)),BV4,"")</f>
        <v/>
      </c>
      <c r="BZ4" s="28"/>
      <c r="CA4" s="23"/>
      <c r="CB4" s="23"/>
      <c r="CC4" s="23"/>
      <c r="CD4" s="6" t="n">
        <v>43831</v>
      </c>
      <c r="CE4" s="14" t="e">
        <f aca="false">INDEX(#ref!,MATCH('HR '!$A4,#ref!,0))</f>
        <v>#NAME?</v>
      </c>
      <c r="CF4" s="14" t="e">
        <f aca="false">INDEX(#ref!,MATCH('HR '!$A4,#ref!,0))</f>
        <v>#NAME?</v>
      </c>
      <c r="CG4" s="14" t="e">
        <f aca="false">INDEX(#ref!,MATCH('HR '!$A4,#ref!,0))</f>
        <v>#NAME?</v>
      </c>
      <c r="CH4" s="17" t="e">
        <f aca="false">BX4</f>
        <v>#NAME?</v>
      </c>
      <c r="CI4" s="17" t="e">
        <f aca="false">IF(CG4&gt;99.99,"Yes","No")</f>
        <v>#NAME?</v>
      </c>
      <c r="CJ4" s="14" t="n">
        <v>481.36</v>
      </c>
      <c r="CK4" s="23" t="s">
        <v>26</v>
      </c>
      <c r="CL4" s="26"/>
      <c r="CM4" s="26"/>
      <c r="CN4" s="26"/>
      <c r="CO4" s="16" t="n">
        <v>43862</v>
      </c>
      <c r="CP4" s="14" t="e">
        <f aca="false">INDEX(#ref!,MATCH('HR '!$A4,#ref!,0))</f>
        <v>#NAME?</v>
      </c>
      <c r="CQ4" s="14" t="e">
        <f aca="false">INDEX(#ref!,MATCH('HR '!$A4,#ref!,0))</f>
        <v>#NAME?</v>
      </c>
      <c r="CR4" s="14" t="e">
        <f aca="false">INDEX(#ref!,MATCH('HR '!$A4,#ref!,0))</f>
        <v>#NAME?</v>
      </c>
      <c r="CS4" s="17" t="e">
        <f aca="false">CI4</f>
        <v>#NAME?</v>
      </c>
      <c r="CT4" s="17" t="e">
        <f aca="false">IF(CR4&gt;99.99,"Yes","No")</f>
        <v>#NAME?</v>
      </c>
      <c r="CU4" s="14" t="str">
        <f aca="false">IF(ISNUMBER(SEARCH("Yes",CT4)),CR4,"")</f>
        <v/>
      </c>
      <c r="CV4" s="39"/>
      <c r="CW4" s="23"/>
      <c r="CX4" s="23"/>
      <c r="CY4" s="23"/>
      <c r="CZ4" s="6" t="n">
        <v>43891</v>
      </c>
      <c r="DA4" s="14" t="e">
        <f aca="false">INDEX(#ref!,MATCH('HR '!$A4,#ref!,0))</f>
        <v>#NAME?</v>
      </c>
      <c r="DB4" s="14" t="e">
        <f aca="false">INDEX(#ref!,MATCH('HR '!$A4,#ref!,0))</f>
        <v>#NAME?</v>
      </c>
      <c r="DC4" s="14" t="e">
        <f aca="false">INDEX(#ref!,MATCH('HR '!$A4,#ref!,0))</f>
        <v>#NAME?</v>
      </c>
      <c r="DD4" s="17" t="e">
        <f aca="false">CT4</f>
        <v>#NAME?</v>
      </c>
      <c r="DE4" s="17" t="e">
        <f aca="false">IF(DC4&gt;99.99,"Yes","No")</f>
        <v>#NAME?</v>
      </c>
      <c r="DF4" s="14" t="str">
        <f aca="false">IF(ISNUMBER(SEARCH("Yes",DE4)),DC4,"")</f>
        <v/>
      </c>
      <c r="DG4" s="28"/>
      <c r="DH4" s="23"/>
      <c r="DI4" s="23"/>
      <c r="DJ4" s="23"/>
      <c r="DK4" s="16" t="n">
        <v>43922</v>
      </c>
      <c r="DL4" s="14" t="e">
        <f aca="false">INDEX(#ref!,MATCH('HR '!$A4,#ref!,0))</f>
        <v>#NAME?</v>
      </c>
      <c r="DM4" s="14" t="e">
        <f aca="false">INDEX(#ref!,MATCH('HR '!$A4,#ref!,0))</f>
        <v>#NAME?</v>
      </c>
      <c r="DN4" s="14" t="e">
        <f aca="false">INDEX(#ref!,MATCH('HR '!$A4,#ref!,0))</f>
        <v>#NAME?</v>
      </c>
      <c r="DO4" s="17" t="e">
        <f aca="false">DE4</f>
        <v>#NAME?</v>
      </c>
      <c r="DP4" s="17" t="e">
        <f aca="false">IF(DN4&gt;99.99,"Yes","No")</f>
        <v>#NAME?</v>
      </c>
      <c r="DQ4" s="14" t="str">
        <f aca="false">IF(ISNUMBER(SEARCH("Yes",DP4)),DN4,"")</f>
        <v/>
      </c>
      <c r="DR4" s="28"/>
      <c r="DS4" s="23"/>
      <c r="DT4" s="23"/>
      <c r="DU4" s="23"/>
      <c r="DV4" s="6" t="n">
        <v>43952</v>
      </c>
      <c r="DW4" s="14" t="e">
        <f aca="false">INDEX(#ref!,MATCH('HR '!$A4,#ref!,0))</f>
        <v>#NAME?</v>
      </c>
      <c r="DX4" s="14" t="e">
        <f aca="false">INDEX(#ref!,MATCH('HR '!$A4,#ref!,0))</f>
        <v>#NAME?</v>
      </c>
      <c r="DY4" s="14" t="e">
        <f aca="false">INDEX(#ref!,MATCH('HR '!$A4,#ref!,0))</f>
        <v>#NAME?</v>
      </c>
      <c r="DZ4" s="17" t="e">
        <f aca="false">DP4</f>
        <v>#NAME?</v>
      </c>
      <c r="EA4" s="17" t="e">
        <f aca="false">IF(DY4&gt;99.99,"Yes","No")</f>
        <v>#NAME?</v>
      </c>
      <c r="EB4" s="14" t="str">
        <f aca="false">IF(ISNUMBER(SEARCH("Yes",EA4)),DY4,"")</f>
        <v/>
      </c>
      <c r="EC4" s="28"/>
      <c r="ED4" s="26"/>
      <c r="EE4" s="26"/>
      <c r="EF4" s="26"/>
      <c r="EG4" s="16" t="n">
        <v>43983</v>
      </c>
      <c r="EH4" s="14" t="e">
        <f aca="false">INDEX(#ref!,MATCH('HR '!$A4,#ref!,0))</f>
        <v>#NAME?</v>
      </c>
      <c r="EI4" s="14" t="e">
        <f aca="false">INDEX(#ref!,MATCH('HR '!$A4,#ref!,0))</f>
        <v>#NAME?</v>
      </c>
      <c r="EJ4" s="14" t="e">
        <f aca="false">INDEX(#ref!,MATCH('HR '!$A4,#ref!,0))</f>
        <v>#NAME?</v>
      </c>
      <c r="EK4" s="17" t="e">
        <f aca="false">EA4</f>
        <v>#NAME?</v>
      </c>
      <c r="EL4" s="17" t="e">
        <f aca="false">IF(EJ4&gt;99.99,"Yes","No")</f>
        <v>#NAME?</v>
      </c>
      <c r="EM4" s="14" t="str">
        <f aca="false">IF(ISNUMBER(SEARCH("Yes",EL4)),EJ4,"")</f>
        <v/>
      </c>
      <c r="EN4" s="28"/>
      <c r="EO4" s="26"/>
      <c r="EP4" s="26"/>
      <c r="EQ4" s="26"/>
      <c r="ER4" s="6" t="n">
        <v>44013</v>
      </c>
      <c r="ES4" s="14" t="e">
        <f aca="false">INDEX(#ref!,MATCH('HR '!$A4,#ref!,0))</f>
        <v>#NAME?</v>
      </c>
      <c r="ET4" s="14" t="e">
        <f aca="false">INDEX(#ref!,MATCH('HR '!$A4,#ref!,0))</f>
        <v>#NAME?</v>
      </c>
      <c r="EU4" s="14" t="e">
        <f aca="false">INDEX(#ref!,MATCH('HR '!$A4,#ref!,0))</f>
        <v>#NAME?</v>
      </c>
      <c r="EV4" s="17" t="e">
        <f aca="false">EL4</f>
        <v>#NAME?</v>
      </c>
      <c r="EW4" s="17" t="e">
        <f aca="false">IF(EU4&gt;99.99,"Yes","No")</f>
        <v>#NAME?</v>
      </c>
      <c r="EX4" s="14" t="str">
        <f aca="false">IF(ISNUMBER(SEARCH("Yes",EW4)),EU4,"")</f>
        <v/>
      </c>
      <c r="EY4" s="23"/>
      <c r="EZ4" s="26"/>
      <c r="FA4" s="26"/>
      <c r="FB4" s="26"/>
      <c r="FC4" s="16" t="n">
        <f aca="false">FC3</f>
        <v>44044</v>
      </c>
      <c r="FD4" s="14" t="e">
        <f aca="false">INDEX(#ref!,MATCH('HR '!$A4,#ref!,0))</f>
        <v>#NAME?</v>
      </c>
      <c r="FE4" s="14" t="e">
        <f aca="false">INDEX(#ref!,MATCH('HR '!$A4,#ref!,0))</f>
        <v>#NAME?</v>
      </c>
      <c r="FF4" s="14" t="e">
        <f aca="false">INDEX(#ref!,MATCH('HR '!$A4,#ref!,0))</f>
        <v>#NAME?</v>
      </c>
      <c r="FG4" s="17" t="e">
        <f aca="false">EW4</f>
        <v>#NAME?</v>
      </c>
      <c r="FH4" s="17" t="e">
        <f aca="false">IF(FF4&gt;99.99,"Yes","No")</f>
        <v>#NAME?</v>
      </c>
      <c r="FI4" s="14" t="str">
        <f aca="false">IF(ISNUMBER(SEARCH("Yes",FH4)),FF4,"")</f>
        <v/>
      </c>
      <c r="FJ4" s="28"/>
      <c r="FK4" s="26"/>
      <c r="FL4" s="26"/>
      <c r="FM4" s="26"/>
      <c r="FN4" s="6" t="n">
        <f aca="false">FN3</f>
        <v>44075</v>
      </c>
      <c r="FO4" s="14" t="e">
        <f aca="false">INDEX(#ref!,MATCH('HR '!$A4,#ref!,0))</f>
        <v>#NAME?</v>
      </c>
      <c r="FP4" s="14" t="e">
        <f aca="false">INDEX(#ref!,MATCH('HR '!$A4,#ref!,0))</f>
        <v>#NAME?</v>
      </c>
      <c r="FQ4" s="14" t="e">
        <f aca="false">INDEX(#ref!,MATCH('HR '!$A4,#ref!,0))</f>
        <v>#NAME?</v>
      </c>
      <c r="FR4" s="17" t="e">
        <f aca="false">FH4</f>
        <v>#NAME?</v>
      </c>
      <c r="FS4" s="31" t="e">
        <f aca="false">IF(FQ4&gt;99.99,"Yes","No")</f>
        <v>#NAME?</v>
      </c>
      <c r="FT4" s="14" t="str">
        <f aca="false">IF(ISNUMBER(SEARCH("Yes",FS4)),FQ4,"")</f>
        <v/>
      </c>
      <c r="FU4" s="28"/>
      <c r="FV4" s="26"/>
      <c r="FW4" s="26"/>
      <c r="FX4" s="26"/>
      <c r="FY4" s="33" t="n">
        <f aca="false">FY3</f>
        <v>44287</v>
      </c>
      <c r="FZ4" s="14" t="n">
        <v>69.78510693</v>
      </c>
      <c r="GA4" s="14" t="n">
        <v>578.1699</v>
      </c>
      <c r="GB4" s="14" t="n">
        <v>647.95500693</v>
      </c>
      <c r="GC4" s="17" t="e">
        <f aca="false">#ref!</f>
        <v>#NAME?</v>
      </c>
      <c r="GD4" s="31" t="str">
        <f aca="false">IF(GB4&gt;99.99,"Yes","No")</f>
        <v>Yes</v>
      </c>
      <c r="GE4" s="14" t="n">
        <f aca="false">IF(ISNUMBER(SEARCH("Yes",GD4)),GB4,"")</f>
        <v>647.95500693</v>
      </c>
      <c r="GF4" s="40"/>
      <c r="GG4" s="26"/>
      <c r="GH4" s="26"/>
      <c r="GI4" s="26"/>
      <c r="GJ4" s="36" t="n">
        <f aca="false">GJ3</f>
        <v>44317</v>
      </c>
      <c r="GK4" s="14" t="n">
        <f aca="false">INDEX('[1]May 2021'!$L$2:$L$29,MATCH('HR '!$A4,'[1]May 2021'!$A$2:$A$29,0))</f>
        <v>69.78510693</v>
      </c>
      <c r="GL4" s="14" t="n">
        <f aca="false">INDEX('[1]May 2021'!$M$2:$M$29,MATCH('HR '!$A4,'[1]May 2021'!$A$2:$A$29,0))</f>
        <v>578.1699</v>
      </c>
      <c r="GM4" s="14" t="n">
        <f aca="false">INDEX('[1]May 2021'!$N$2:$N$29,MATCH('HR '!$A4,'[1]May 2021'!$A$2:$A$29,0))</f>
        <v>647.95500693</v>
      </c>
      <c r="GN4" s="17" t="str">
        <f aca="false">GD4</f>
        <v>Yes</v>
      </c>
      <c r="GO4" s="31" t="str">
        <f aca="false">IF(GM4&gt;99.99,"Yes","No")</f>
        <v>Yes</v>
      </c>
      <c r="GP4" s="14" t="n">
        <f aca="false">IF(ISNUMBER(SEARCH("Yes",GO4)),GM4,"")</f>
        <v>647.95500693</v>
      </c>
      <c r="GQ4" s="40"/>
      <c r="GR4" s="26"/>
      <c r="GS4" s="26"/>
      <c r="GT4" s="26"/>
    </row>
    <row r="5" customFormat="false" ht="14.9" hidden="true" customHeight="false" outlineLevel="0" collapsed="false">
      <c r="A5" s="12" t="n">
        <v>840</v>
      </c>
      <c r="B5" s="13" t="s">
        <v>27</v>
      </c>
      <c r="C5" s="6" t="n">
        <v>43586</v>
      </c>
      <c r="D5" s="14" t="e">
        <f aca="false">INDEX(#ref!,MATCH('HR '!A5,#ref!,0))</f>
        <v>#NAME?</v>
      </c>
      <c r="E5" s="14" t="e">
        <f aca="false">INDEX(#ref!,MATCH('HR '!$A5,#ref!,0))</f>
        <v>#NAME?</v>
      </c>
      <c r="F5" s="14" t="e">
        <f aca="false">INDEX(#ref!,MATCH('HR '!$A5,#ref!,0))</f>
        <v>#NAME?</v>
      </c>
      <c r="G5" s="14" t="s">
        <v>14</v>
      </c>
      <c r="H5" s="15" t="s">
        <v>17</v>
      </c>
      <c r="I5" s="14" t="str">
        <f aca="false">IF(ISNUMBER(SEARCH("Yes",H5)),F5,"")</f>
        <v/>
      </c>
      <c r="J5" s="14"/>
      <c r="K5" s="16" t="n">
        <v>43617</v>
      </c>
      <c r="L5" s="14" t="e">
        <f aca="false">INDEX(#ref!,MATCH('HR '!$A5,#ref!,0))</f>
        <v>#NAME?</v>
      </c>
      <c r="M5" s="14" t="e">
        <f aca="false">INDEX(#ref!,MATCH('HR '!$A5,#ref!,0))</f>
        <v>#NAME?</v>
      </c>
      <c r="N5" s="14" t="e">
        <f aca="false">INDEX(#ref!,MATCH('HR '!$A5,#ref!,0))</f>
        <v>#NAME?</v>
      </c>
      <c r="O5" s="17" t="str">
        <f aca="false">H5</f>
        <v>No</v>
      </c>
      <c r="P5" s="17" t="e">
        <f aca="false">IF(N5&gt;99.99,"Yes","No")</f>
        <v>#NAME?</v>
      </c>
      <c r="Q5" s="18"/>
      <c r="R5" s="14" t="s">
        <v>20</v>
      </c>
      <c r="S5" s="6" t="n">
        <v>43647</v>
      </c>
      <c r="T5" s="14" t="e">
        <f aca="false">INDEX(#ref!,MATCH('HR '!$A5,#ref!,0))</f>
        <v>#NAME?</v>
      </c>
      <c r="U5" s="14" t="e">
        <f aca="false">INDEX(#ref!,MATCH('HR '!$A5,#ref!,0))</f>
        <v>#NAME?</v>
      </c>
      <c r="V5" s="14" t="e">
        <f aca="false">INDEX(#ref!,MATCH('HR '!$A5,#ref!,0))</f>
        <v>#NAME?</v>
      </c>
      <c r="W5" s="17" t="e">
        <f aca="false">P5</f>
        <v>#NAME?</v>
      </c>
      <c r="X5" s="20" t="s">
        <v>15</v>
      </c>
      <c r="Y5" s="19" t="e">
        <f aca="false">SUM(F5+N5+V5)</f>
        <v>#NAME?</v>
      </c>
      <c r="Z5" s="19" t="s">
        <v>28</v>
      </c>
      <c r="AA5" s="16" t="n">
        <v>43678</v>
      </c>
      <c r="AB5" s="14" t="e">
        <f aca="false">INDEX(#ref!,MATCH('HR '!$A5,#ref!,0))</f>
        <v>#NAME?</v>
      </c>
      <c r="AC5" s="14" t="e">
        <f aca="false">INDEX(#ref!,MATCH('HR '!$A5,#ref!,0))</f>
        <v>#NAME?</v>
      </c>
      <c r="AD5" s="14" t="e">
        <f aca="false">INDEX(#ref!,MATCH('HR '!$A5,#ref!,0))</f>
        <v>#NAME?</v>
      </c>
      <c r="AE5" s="17" t="str">
        <f aca="false">X5</f>
        <v>Yes</v>
      </c>
      <c r="AF5" s="17" t="e">
        <f aca="false">IF(AD5&gt;99.99,"Yes","No")</f>
        <v>#NAME?</v>
      </c>
      <c r="AG5" s="14" t="str">
        <f aca="false">IF(ISNUMBER(SEARCH("Yes",AF5)),AD5,"")</f>
        <v/>
      </c>
      <c r="AH5" s="23" t="s">
        <v>16</v>
      </c>
      <c r="AI5" s="23"/>
      <c r="AJ5" s="23"/>
      <c r="AK5" s="23"/>
      <c r="AL5" s="6" t="n">
        <v>43709</v>
      </c>
      <c r="AM5" s="14" t="e">
        <f aca="false">INDEX(#ref!,MATCH('HR '!$A5,#ref!,0))</f>
        <v>#NAME?</v>
      </c>
      <c r="AN5" s="14" t="e">
        <f aca="false">INDEX(#ref!,MATCH('HR '!$A5,#ref!,0))</f>
        <v>#NAME?</v>
      </c>
      <c r="AO5" s="14" t="e">
        <f aca="false">INDEX(#ref!,MATCH('HR '!$A5,#ref!,0))</f>
        <v>#NAME?</v>
      </c>
      <c r="AP5" s="17" t="e">
        <f aca="false">AF5</f>
        <v>#NAME?</v>
      </c>
      <c r="AQ5" s="17" t="e">
        <f aca="false">IF(AO5&gt;99.99,"Yes","No")</f>
        <v>#NAME?</v>
      </c>
      <c r="AR5" s="14" t="str">
        <f aca="false">IF(ISNUMBER(SEARCH("Yes",AQ5)),AO5,"")</f>
        <v/>
      </c>
      <c r="AS5" s="23" t="s">
        <v>20</v>
      </c>
      <c r="AT5" s="23"/>
      <c r="AU5" s="23"/>
      <c r="AV5" s="23"/>
      <c r="AW5" s="16" t="n">
        <v>43739</v>
      </c>
      <c r="AX5" s="14" t="e">
        <f aca="false">INDEX(#ref!,MATCH('HR '!$A5,#ref!,0))</f>
        <v>#NAME?</v>
      </c>
      <c r="AY5" s="14" t="e">
        <f aca="false">INDEX(#ref!,MATCH('HR '!$A5,#ref!,0))</f>
        <v>#NAME?</v>
      </c>
      <c r="AZ5" s="14" t="e">
        <f aca="false">INDEX(#ref!,MATCH('HR '!$A5,#ref!,0))</f>
        <v>#NAME?</v>
      </c>
      <c r="BA5" s="17" t="e">
        <f aca="false">AQ5</f>
        <v>#NAME?</v>
      </c>
      <c r="BB5" s="17" t="s">
        <v>15</v>
      </c>
      <c r="BC5" s="35" t="n">
        <v>46.09674447</v>
      </c>
      <c r="BD5" s="30" t="s">
        <v>29</v>
      </c>
      <c r="BE5" s="26" t="e">
        <f aca="false">AB5+AM5+AX5</f>
        <v>#NAME?</v>
      </c>
      <c r="BF5" s="26" t="e">
        <f aca="false">AC5+AN5+AY5</f>
        <v>#NAME?</v>
      </c>
      <c r="BG5" s="26" t="e">
        <f aca="false">AD5+AO5+AZ5</f>
        <v>#NAME?</v>
      </c>
      <c r="BH5" s="6" t="n">
        <v>43770</v>
      </c>
      <c r="BI5" s="14" t="e">
        <f aca="false">INDEX(#ref!,MATCH('HR '!$A5,#ref!,0))</f>
        <v>#NAME?</v>
      </c>
      <c r="BJ5" s="14" t="e">
        <f aca="false">INDEX(#ref!,MATCH('HR '!$A5,#ref!,0))</f>
        <v>#NAME?</v>
      </c>
      <c r="BK5" s="14" t="e">
        <f aca="false">INDEX(#ref!,MATCH('HR '!$A5,#ref!,0))</f>
        <v>#NAME?</v>
      </c>
      <c r="BL5" s="17" t="str">
        <f aca="false">BB5</f>
        <v>Yes</v>
      </c>
      <c r="BM5" s="17" t="e">
        <f aca="false">IF(BK5&gt;99.99,"Yes","No")</f>
        <v>#NAME?</v>
      </c>
      <c r="BN5" s="14" t="str">
        <f aca="false">IF(ISNUMBER(SEARCH("Yes",BM5)),BK5,"")</f>
        <v/>
      </c>
      <c r="BO5" s="23" t="s">
        <v>16</v>
      </c>
      <c r="BP5" s="26"/>
      <c r="BQ5" s="26"/>
      <c r="BR5" s="26"/>
      <c r="BS5" s="16" t="n">
        <v>43800</v>
      </c>
      <c r="BT5" s="14" t="e">
        <f aca="false">INDEX(#ref!,MATCH('HR '!$A5,#ref!,0))</f>
        <v>#NAME?</v>
      </c>
      <c r="BU5" s="14" t="e">
        <f aca="false">INDEX(#ref!,MATCH('HR '!$A5,#ref!,0))</f>
        <v>#NAME?</v>
      </c>
      <c r="BV5" s="14" t="e">
        <f aca="false">INDEX(#ref!,MATCH('HR '!$A5,#ref!,0))</f>
        <v>#NAME?</v>
      </c>
      <c r="BW5" s="17" t="e">
        <f aca="false">BM5</f>
        <v>#NAME?</v>
      </c>
      <c r="BX5" s="17" t="e">
        <f aca="false">IF(BV5&gt;99.99,"Yes","No")</f>
        <v>#NAME?</v>
      </c>
      <c r="BY5" s="14" t="str">
        <f aca="false">IF(ISNUMBER(SEARCH("Yes",BX5)),BV5,"")</f>
        <v/>
      </c>
      <c r="BZ5" s="23" t="s">
        <v>20</v>
      </c>
      <c r="CA5" s="26"/>
      <c r="CB5" s="26"/>
      <c r="CC5" s="26"/>
      <c r="CD5" s="6" t="n">
        <v>43831</v>
      </c>
      <c r="CE5" s="14" t="e">
        <f aca="false">INDEX(#ref!,MATCH('HR '!$A5,#ref!,0))</f>
        <v>#NAME?</v>
      </c>
      <c r="CF5" s="14" t="e">
        <f aca="false">INDEX(#ref!,MATCH('HR '!$A5,#ref!,0))</f>
        <v>#NAME?</v>
      </c>
      <c r="CG5" s="14" t="e">
        <f aca="false">INDEX(#ref!,MATCH('HR '!$A5,#ref!,0))</f>
        <v>#NAME?</v>
      </c>
      <c r="CH5" s="17" t="e">
        <f aca="false">BX5</f>
        <v>#NAME?</v>
      </c>
      <c r="CI5" s="17" t="s">
        <v>15</v>
      </c>
      <c r="CJ5" s="14" t="n">
        <v>42.50837514</v>
      </c>
      <c r="CK5" s="25" t="s">
        <v>30</v>
      </c>
      <c r="CL5" s="26" t="e">
        <f aca="false">SUM(BI5,BT5,CE5)</f>
        <v>#NAME?</v>
      </c>
      <c r="CM5" s="26" t="e">
        <f aca="false">SUM(BJ5,BU5,CF5)</f>
        <v>#NAME?</v>
      </c>
      <c r="CN5" s="26" t="e">
        <f aca="false">SUM(BK5,BV5,CG5)</f>
        <v>#NAME?</v>
      </c>
      <c r="CO5" s="16" t="n">
        <v>43862</v>
      </c>
      <c r="CP5" s="14" t="e">
        <f aca="false">INDEX(#ref!,MATCH('HR '!$A5,#ref!,0))</f>
        <v>#NAME?</v>
      </c>
      <c r="CQ5" s="14" t="e">
        <f aca="false">INDEX(#ref!,MATCH('HR '!$A5,#ref!,0))</f>
        <v>#NAME?</v>
      </c>
      <c r="CR5" s="14" t="e">
        <f aca="false">INDEX(#ref!,MATCH('HR '!$A5,#ref!,0))</f>
        <v>#NAME?</v>
      </c>
      <c r="CS5" s="17" t="str">
        <f aca="false">CI5</f>
        <v>Yes</v>
      </c>
      <c r="CT5" s="17" t="e">
        <f aca="false">IF(CR5&gt;99.99,"Yes","No")</f>
        <v>#NAME?</v>
      </c>
      <c r="CU5" s="14" t="str">
        <f aca="false">IF(ISNUMBER(SEARCH("Yes",CT5)),CR5,"")</f>
        <v/>
      </c>
      <c r="CV5" s="23" t="s">
        <v>16</v>
      </c>
      <c r="CW5" s="26"/>
      <c r="CX5" s="26"/>
      <c r="CY5" s="26"/>
      <c r="CZ5" s="6" t="n">
        <v>43891</v>
      </c>
      <c r="DA5" s="14" t="e">
        <f aca="false">INDEX(#ref!,MATCH('HR '!$A5,#ref!,0))</f>
        <v>#NAME?</v>
      </c>
      <c r="DB5" s="14" t="e">
        <f aca="false">INDEX(#ref!,MATCH('HR '!$A5,#ref!,0))</f>
        <v>#NAME?</v>
      </c>
      <c r="DC5" s="14" t="e">
        <f aca="false">INDEX(#ref!,MATCH('HR '!$A5,#ref!,0))</f>
        <v>#NAME?</v>
      </c>
      <c r="DD5" s="17" t="e">
        <f aca="false">CT5</f>
        <v>#NAME?</v>
      </c>
      <c r="DE5" s="17" t="e">
        <f aca="false">IF(DC5&gt;99.99,"Yes","No")</f>
        <v>#NAME?</v>
      </c>
      <c r="DF5" s="14" t="str">
        <f aca="false">IF(ISNUMBER(SEARCH("Yes",DE5)),DC5,"")</f>
        <v/>
      </c>
      <c r="DG5" s="28" t="s">
        <v>20</v>
      </c>
      <c r="DH5" s="26"/>
      <c r="DI5" s="26"/>
      <c r="DJ5" s="26"/>
      <c r="DK5" s="16" t="n">
        <v>43922</v>
      </c>
      <c r="DL5" s="14" t="e">
        <f aca="false">INDEX(#ref!,MATCH('HR '!$A5,#ref!,0))</f>
        <v>#NAME?</v>
      </c>
      <c r="DM5" s="14" t="e">
        <f aca="false">INDEX(#ref!,MATCH('HR '!$A5,#ref!,0))</f>
        <v>#NAME?</v>
      </c>
      <c r="DN5" s="14" t="e">
        <f aca="false">INDEX(#ref!,MATCH('HR '!$A5,#ref!,0))</f>
        <v>#NAME?</v>
      </c>
      <c r="DO5" s="17" t="e">
        <f aca="false">DE5</f>
        <v>#NAME?</v>
      </c>
      <c r="DP5" s="17" t="s">
        <v>15</v>
      </c>
      <c r="DQ5" s="14" t="e">
        <f aca="false">IF(ISNUMBER(SEARCH("Yes",DP5)),DN5,"")</f>
        <v>#NAME?</v>
      </c>
      <c r="DR5" s="29" t="s">
        <v>23</v>
      </c>
      <c r="DS5" s="26" t="e">
        <f aca="false">SUM(CP5+DA5+DL5)</f>
        <v>#NAME?</v>
      </c>
      <c r="DT5" s="26" t="e">
        <f aca="false">SUM(CQ5+DB5+DM5)</f>
        <v>#NAME?</v>
      </c>
      <c r="DU5" s="26" t="e">
        <f aca="false">SUM(CR5+DC5+DN5)</f>
        <v>#NAME?</v>
      </c>
      <c r="DV5" s="6" t="n">
        <v>43952</v>
      </c>
      <c r="DW5" s="14" t="e">
        <f aca="false">INDEX(#ref!,MATCH('HR '!$A5,#ref!,0))</f>
        <v>#NAME?</v>
      </c>
      <c r="DX5" s="14" t="e">
        <f aca="false">INDEX(#ref!,MATCH('HR '!$A5,#ref!,0))</f>
        <v>#NAME?</v>
      </c>
      <c r="DY5" s="14" t="e">
        <f aca="false">INDEX(#ref!,MATCH('HR '!$A5,#ref!,0))</f>
        <v>#NAME?</v>
      </c>
      <c r="DZ5" s="17" t="str">
        <f aca="false">DP5</f>
        <v>Yes</v>
      </c>
      <c r="EA5" s="17" t="e">
        <f aca="false">IF(DY5&gt;99.99,"Yes","No")</f>
        <v>#NAME?</v>
      </c>
      <c r="EB5" s="14" t="str">
        <f aca="false">IF(ISNUMBER(SEARCH("Yes",EA5)),DY5,"")</f>
        <v/>
      </c>
      <c r="EC5" s="23" t="s">
        <v>16</v>
      </c>
      <c r="ED5" s="26"/>
      <c r="EE5" s="26"/>
      <c r="EF5" s="26"/>
      <c r="EG5" s="16" t="n">
        <v>43983</v>
      </c>
      <c r="EH5" s="14" t="e">
        <f aca="false">INDEX(#ref!,MATCH('HR '!$A5,#ref!,0))</f>
        <v>#NAME?</v>
      </c>
      <c r="EI5" s="14" t="e">
        <f aca="false">INDEX(#ref!,MATCH('HR '!$A5,#ref!,0))</f>
        <v>#NAME?</v>
      </c>
      <c r="EJ5" s="14" t="e">
        <f aca="false">INDEX(#ref!,MATCH('HR '!$A5,#ref!,0))</f>
        <v>#NAME?</v>
      </c>
      <c r="EK5" s="17" t="e">
        <f aca="false">EA5</f>
        <v>#NAME?</v>
      </c>
      <c r="EL5" s="17" t="e">
        <f aca="false">IF(EJ5&gt;99.99,"Yes","No")</f>
        <v>#NAME?</v>
      </c>
      <c r="EM5" s="14" t="str">
        <f aca="false">IF(ISNUMBER(SEARCH("Yes",EL5)),EJ5,"")</f>
        <v/>
      </c>
      <c r="EN5" s="23" t="s">
        <v>20</v>
      </c>
      <c r="EO5" s="26"/>
      <c r="EP5" s="26"/>
      <c r="EQ5" s="26"/>
      <c r="ER5" s="6" t="n">
        <v>44013</v>
      </c>
      <c r="ES5" s="14" t="e">
        <f aca="false">INDEX(#ref!,MATCH('HR '!$A5,#ref!,0))</f>
        <v>#NAME?</v>
      </c>
      <c r="ET5" s="14" t="e">
        <f aca="false">INDEX(#ref!,MATCH('HR '!$A5,#ref!,0))</f>
        <v>#NAME?</v>
      </c>
      <c r="EU5" s="14" t="e">
        <f aca="false">INDEX(#ref!,MATCH('HR '!$A5,#ref!,0))</f>
        <v>#NAME?</v>
      </c>
      <c r="EV5" s="17" t="e">
        <f aca="false">EL5</f>
        <v>#NAME?</v>
      </c>
      <c r="EW5" s="17" t="s">
        <v>15</v>
      </c>
      <c r="EX5" s="29" t="s">
        <v>23</v>
      </c>
      <c r="EY5" s="29" t="s">
        <v>23</v>
      </c>
      <c r="EZ5" s="26" t="e">
        <f aca="false">DW5+EH5+ES5</f>
        <v>#NAME?</v>
      </c>
      <c r="FA5" s="26" t="e">
        <f aca="false">DX5+EI5+ET5</f>
        <v>#NAME?</v>
      </c>
      <c r="FB5" s="26" t="e">
        <f aca="false">DY5+EJ5+EU5</f>
        <v>#NAME?</v>
      </c>
      <c r="FC5" s="16" t="n">
        <f aca="false">FC3</f>
        <v>44044</v>
      </c>
      <c r="FD5" s="14" t="e">
        <f aca="false">INDEX(#ref!,MATCH('HR '!$A5,#ref!,0))</f>
        <v>#NAME?</v>
      </c>
      <c r="FE5" s="14" t="e">
        <f aca="false">INDEX(#ref!,MATCH('HR '!$A5,#ref!,0))</f>
        <v>#NAME?</v>
      </c>
      <c r="FF5" s="14" t="e">
        <f aca="false">INDEX(#ref!,MATCH('HR '!$A5,#ref!,0))</f>
        <v>#NAME?</v>
      </c>
      <c r="FG5" s="17" t="str">
        <f aca="false">EW5</f>
        <v>Yes</v>
      </c>
      <c r="FH5" s="17" t="e">
        <f aca="false">IF(FF5&gt;99.99,"Yes","No")</f>
        <v>#NAME?</v>
      </c>
      <c r="FI5" s="14" t="str">
        <f aca="false">IF(ISNUMBER(SEARCH("Yes",FH5)),FF5,"")</f>
        <v/>
      </c>
      <c r="FJ5" s="23" t="s">
        <v>16</v>
      </c>
      <c r="FK5" s="26"/>
      <c r="FL5" s="26"/>
      <c r="FM5" s="26"/>
      <c r="FN5" s="6" t="n">
        <f aca="false">FN3</f>
        <v>44075</v>
      </c>
      <c r="FO5" s="14" t="e">
        <f aca="false">INDEX(#ref!,MATCH('HR '!$A5,#ref!,0))</f>
        <v>#NAME?</v>
      </c>
      <c r="FP5" s="14" t="e">
        <f aca="false">INDEX(#ref!,MATCH('HR '!$A5,#ref!,0))</f>
        <v>#NAME?</v>
      </c>
      <c r="FQ5" s="14" t="e">
        <f aca="false">INDEX(#ref!,MATCH('HR '!$A5,#ref!,0))</f>
        <v>#NAME?</v>
      </c>
      <c r="FR5" s="17" t="e">
        <f aca="false">FH5</f>
        <v>#NAME?</v>
      </c>
      <c r="FS5" s="31" t="e">
        <f aca="false">IF(FQ5&gt;99.99,"Yes","No")</f>
        <v>#NAME?</v>
      </c>
      <c r="FT5" s="14" t="str">
        <f aca="false">IF(ISNUMBER(SEARCH("Yes",FS5)),FQ5,"")</f>
        <v/>
      </c>
      <c r="FU5" s="23" t="s">
        <v>31</v>
      </c>
      <c r="FV5" s="26"/>
      <c r="FW5" s="26"/>
      <c r="FX5" s="26"/>
      <c r="FY5" s="33" t="n">
        <f aca="false">FY4</f>
        <v>44287</v>
      </c>
      <c r="FZ5" s="14" t="n">
        <v>46.6739658</v>
      </c>
      <c r="GA5" s="14" t="n">
        <v>396.694</v>
      </c>
      <c r="GB5" s="14" t="n">
        <v>443.3679658</v>
      </c>
      <c r="GC5" s="17" t="e">
        <f aca="false">#ref!</f>
        <v>#NAME?</v>
      </c>
      <c r="GD5" s="31" t="s">
        <v>15</v>
      </c>
      <c r="GE5" s="41" t="s">
        <v>32</v>
      </c>
      <c r="GF5" s="41" t="s">
        <v>33</v>
      </c>
      <c r="GG5" s="35" t="e">
        <f aca="false">SUM(#ref!+#ref!+#ref!+#ref!+#ref!+FZ5)</f>
        <v>#NAME?</v>
      </c>
      <c r="GH5" s="35" t="e">
        <f aca="false">SUM(#ref!+#ref!+#ref!+#ref!+#ref!+GA5)</f>
        <v>#NAME?</v>
      </c>
      <c r="GI5" s="35" t="e">
        <f aca="false">SUM(#ref!+#ref!+#ref!+#ref!+#ref!+GB5)</f>
        <v>#NAME?</v>
      </c>
      <c r="GJ5" s="36" t="n">
        <f aca="false">GJ4</f>
        <v>44317</v>
      </c>
      <c r="GK5" s="14" t="n">
        <f aca="false">INDEX('[1]May 2021'!$L$2:$L$29,MATCH('HR '!$A5,'[1]May 2021'!$A$2:$A$29,0))</f>
        <v>0.30112236</v>
      </c>
      <c r="GL5" s="14" t="n">
        <f aca="false">INDEX('[1]May 2021'!$M$2:$M$29,MATCH('HR '!$A5,'[1]May 2021'!$A$2:$A$29,0))</f>
        <v>2.4948</v>
      </c>
      <c r="GM5" s="14" t="n">
        <f aca="false">INDEX('[1]May 2021'!$N$2:$N$29,MATCH('HR '!$A5,'[1]May 2021'!$A$2:$A$29,0))</f>
        <v>2.79592236</v>
      </c>
      <c r="GN5" s="17" t="str">
        <f aca="false">GD5</f>
        <v>Yes</v>
      </c>
      <c r="GO5" s="31" t="str">
        <f aca="false">IF(GM5&gt;99.99,"Yes","No")</f>
        <v>No</v>
      </c>
      <c r="GP5" s="14" t="s">
        <v>16</v>
      </c>
      <c r="GQ5" s="42" t="s">
        <v>16</v>
      </c>
      <c r="GR5" s="38"/>
      <c r="GS5" s="38"/>
      <c r="GT5" s="38"/>
    </row>
    <row r="6" customFormat="false" ht="14.9" hidden="true" customHeight="false" outlineLevel="0" collapsed="false">
      <c r="A6" s="12" t="n">
        <v>901</v>
      </c>
      <c r="B6" s="13" t="s">
        <v>34</v>
      </c>
      <c r="C6" s="43"/>
      <c r="D6" s="44"/>
      <c r="E6" s="44"/>
      <c r="F6" s="44"/>
      <c r="G6" s="44"/>
      <c r="H6" s="45"/>
      <c r="I6" s="44"/>
      <c r="J6" s="44"/>
      <c r="K6" s="43"/>
      <c r="L6" s="44"/>
      <c r="M6" s="44"/>
      <c r="N6" s="44"/>
      <c r="O6" s="46"/>
      <c r="P6" s="46"/>
      <c r="Q6" s="47"/>
      <c r="R6" s="44"/>
      <c r="S6" s="43"/>
      <c r="T6" s="44"/>
      <c r="U6" s="44"/>
      <c r="V6" s="44"/>
      <c r="W6" s="46"/>
      <c r="X6" s="46"/>
      <c r="Y6" s="44"/>
      <c r="Z6" s="44"/>
      <c r="AA6" s="43"/>
      <c r="AB6" s="44"/>
      <c r="AC6" s="44"/>
      <c r="AD6" s="44"/>
      <c r="AE6" s="46"/>
      <c r="AF6" s="46"/>
      <c r="AG6" s="44"/>
      <c r="AH6" s="48"/>
      <c r="AI6" s="48"/>
      <c r="AJ6" s="48"/>
      <c r="AK6" s="48"/>
      <c r="AL6" s="43"/>
      <c r="AM6" s="44"/>
      <c r="AN6" s="44"/>
      <c r="AO6" s="44"/>
      <c r="AP6" s="46"/>
      <c r="AQ6" s="46"/>
      <c r="AR6" s="44"/>
      <c r="AS6" s="48"/>
      <c r="AT6" s="48"/>
      <c r="AU6" s="48"/>
      <c r="AV6" s="48"/>
      <c r="AW6" s="43"/>
      <c r="AX6" s="44"/>
      <c r="AY6" s="44"/>
      <c r="AZ6" s="44"/>
      <c r="BA6" s="46"/>
      <c r="BB6" s="46"/>
      <c r="BC6" s="49"/>
      <c r="BD6" s="48"/>
      <c r="BE6" s="49"/>
      <c r="BF6" s="49"/>
      <c r="BG6" s="49"/>
      <c r="BH6" s="43"/>
      <c r="BI6" s="44"/>
      <c r="BJ6" s="44"/>
      <c r="BK6" s="44"/>
      <c r="BL6" s="46"/>
      <c r="BM6" s="46"/>
      <c r="BN6" s="44"/>
      <c r="BO6" s="48"/>
      <c r="BP6" s="49"/>
      <c r="BQ6" s="49"/>
      <c r="BR6" s="49"/>
      <c r="BS6" s="43"/>
      <c r="BT6" s="44"/>
      <c r="BU6" s="44"/>
      <c r="BV6" s="44"/>
      <c r="BW6" s="46"/>
      <c r="BX6" s="46"/>
      <c r="BY6" s="44"/>
      <c r="BZ6" s="48"/>
      <c r="CA6" s="49"/>
      <c r="CB6" s="49"/>
      <c r="CC6" s="49"/>
      <c r="CD6" s="43"/>
      <c r="CE6" s="44"/>
      <c r="CF6" s="44"/>
      <c r="CG6" s="44"/>
      <c r="CH6" s="46"/>
      <c r="CI6" s="46"/>
      <c r="CJ6" s="44"/>
      <c r="CK6" s="50"/>
      <c r="CL6" s="49"/>
      <c r="CM6" s="49"/>
      <c r="CN6" s="49"/>
      <c r="CO6" s="43"/>
      <c r="CP6" s="44"/>
      <c r="CQ6" s="44"/>
      <c r="CR6" s="44"/>
      <c r="CS6" s="46"/>
      <c r="CT6" s="46"/>
      <c r="CU6" s="44"/>
      <c r="CV6" s="48"/>
      <c r="CW6" s="49"/>
      <c r="CX6" s="49"/>
      <c r="CY6" s="49"/>
      <c r="CZ6" s="43"/>
      <c r="DA6" s="44"/>
      <c r="DB6" s="44"/>
      <c r="DC6" s="44"/>
      <c r="DD6" s="46"/>
      <c r="DE6" s="46"/>
      <c r="DF6" s="44"/>
      <c r="DG6" s="48"/>
      <c r="DH6" s="49"/>
      <c r="DI6" s="49"/>
      <c r="DJ6" s="49"/>
      <c r="DK6" s="43"/>
      <c r="DL6" s="44"/>
      <c r="DM6" s="44"/>
      <c r="DN6" s="44"/>
      <c r="DO6" s="46"/>
      <c r="DP6" s="46"/>
      <c r="DQ6" s="44"/>
      <c r="DR6" s="48"/>
      <c r="DS6" s="49"/>
      <c r="DT6" s="49"/>
      <c r="DU6" s="49"/>
      <c r="DV6" s="43"/>
      <c r="DW6" s="44"/>
      <c r="DX6" s="44"/>
      <c r="DY6" s="44"/>
      <c r="DZ6" s="46"/>
      <c r="EA6" s="46"/>
      <c r="EB6" s="44"/>
      <c r="EC6" s="48"/>
      <c r="ED6" s="49"/>
      <c r="EE6" s="49"/>
      <c r="EF6" s="49"/>
      <c r="EG6" s="43"/>
      <c r="EH6" s="44"/>
      <c r="EI6" s="44"/>
      <c r="EJ6" s="44"/>
      <c r="EK6" s="46"/>
      <c r="EL6" s="46"/>
      <c r="EM6" s="44"/>
      <c r="EN6" s="48"/>
      <c r="EO6" s="49"/>
      <c r="EP6" s="49"/>
      <c r="EQ6" s="49"/>
      <c r="ER6" s="43"/>
      <c r="ES6" s="44"/>
      <c r="ET6" s="44"/>
      <c r="EU6" s="44"/>
      <c r="EV6" s="46"/>
      <c r="EW6" s="46"/>
      <c r="EX6" s="48"/>
      <c r="EY6" s="48"/>
      <c r="EZ6" s="49"/>
      <c r="FA6" s="49"/>
      <c r="FB6" s="49"/>
      <c r="FC6" s="43"/>
      <c r="FD6" s="44"/>
      <c r="FE6" s="44"/>
      <c r="FF6" s="44"/>
      <c r="FG6" s="46"/>
      <c r="FH6" s="46"/>
      <c r="FI6" s="44"/>
      <c r="FJ6" s="48"/>
      <c r="FK6" s="49"/>
      <c r="FL6" s="49"/>
      <c r="FM6" s="49"/>
      <c r="FN6" s="43"/>
      <c r="FO6" s="44"/>
      <c r="FP6" s="44"/>
      <c r="FQ6" s="44"/>
      <c r="FR6" s="46"/>
      <c r="FS6" s="51"/>
      <c r="FT6" s="44"/>
      <c r="FU6" s="48"/>
      <c r="FV6" s="49"/>
      <c r="FW6" s="49"/>
      <c r="FX6" s="49"/>
      <c r="FY6" s="52"/>
      <c r="FZ6" s="14" t="n">
        <v>59.9018409</v>
      </c>
      <c r="GA6" s="14" t="n">
        <v>496.287</v>
      </c>
      <c r="GB6" s="14" t="n">
        <v>556.1888409</v>
      </c>
      <c r="GC6" s="46"/>
      <c r="GD6" s="51"/>
      <c r="GE6" s="53"/>
      <c r="GF6" s="53"/>
      <c r="GG6" s="49"/>
      <c r="GH6" s="49"/>
      <c r="GI6" s="49"/>
      <c r="GJ6" s="36" t="n">
        <f aca="false">GJ5</f>
        <v>44317</v>
      </c>
      <c r="GK6" s="14" t="n">
        <f aca="false">INDEX('[1]May 2021'!$L$2:$L$29,MATCH('HR '!$A6,'[1]May 2021'!$A$2:$A$29,0))</f>
        <v>2.63482065</v>
      </c>
      <c r="GL6" s="14" t="n">
        <f aca="false">INDEX('[1]May 2021'!$M$2:$M$29,MATCH('HR '!$A6,'[1]May 2021'!$A$2:$A$29,0))</f>
        <v>41.8795</v>
      </c>
      <c r="GM6" s="14" t="n">
        <f aca="false">INDEX('[1]May 2021'!$N$2:$N$29,MATCH('HR '!$A6,'[1]May 2021'!$A$2:$A$29,0))</f>
        <v>44.51432065</v>
      </c>
      <c r="GN6" s="17" t="s">
        <v>17</v>
      </c>
      <c r="GO6" s="31" t="str">
        <f aca="false">IF(GM6&gt;99.99,"Yes","No")</f>
        <v>No</v>
      </c>
      <c r="GP6" s="42" t="s">
        <v>16</v>
      </c>
      <c r="GQ6" s="42" t="s">
        <v>16</v>
      </c>
      <c r="GR6" s="38"/>
      <c r="GS6" s="38"/>
      <c r="GT6" s="38"/>
    </row>
    <row r="7" customFormat="false" ht="14.9" hidden="false" customHeight="false" outlineLevel="0" collapsed="false">
      <c r="A7" s="12" t="n">
        <v>397</v>
      </c>
      <c r="B7" s="13" t="s">
        <v>13</v>
      </c>
      <c r="C7" s="6" t="n">
        <v>43586</v>
      </c>
      <c r="D7" s="14" t="e">
        <f aca="false">INDEX(#ref!,MATCH('HR '!A7,#ref!,0))</f>
        <v>#NAME?</v>
      </c>
      <c r="E7" s="14" t="e">
        <f aca="false">INDEX(#ref!,MATCH('HR '!$A7,#ref!,0))</f>
        <v>#NAME?</v>
      </c>
      <c r="F7" s="14" t="e">
        <f aca="false">INDEX(#ref!,MATCH('HR '!$A7,#ref!,0))</f>
        <v>#NAME?</v>
      </c>
      <c r="G7" s="14" t="s">
        <v>14</v>
      </c>
      <c r="H7" s="15" t="s">
        <v>15</v>
      </c>
      <c r="I7" s="14" t="e">
        <f aca="false">IF(ISNUMBER(SEARCH("Yes",H7)),F7,"")</f>
        <v>#NAME?</v>
      </c>
      <c r="J7" s="14"/>
      <c r="K7" s="16" t="n">
        <v>43617</v>
      </c>
      <c r="L7" s="14" t="e">
        <f aca="false">INDEX(#ref!,MATCH('HR '!$A7,#ref!,0))</f>
        <v>#NAME?</v>
      </c>
      <c r="M7" s="14" t="e">
        <f aca="false">INDEX(#ref!,MATCH('HR '!$A7,#ref!,0))</f>
        <v>#NAME?</v>
      </c>
      <c r="N7" s="14" t="e">
        <f aca="false">INDEX(#ref!,MATCH('HR '!$A7,#ref!,0))</f>
        <v>#NAME?</v>
      </c>
      <c r="O7" s="17" t="str">
        <f aca="false">H7</f>
        <v>Yes</v>
      </c>
      <c r="P7" s="17" t="e">
        <f aca="false">IF(N7&gt;99.99,"Yes","No")</f>
        <v>#NAME?</v>
      </c>
      <c r="Q7" s="14" t="str">
        <f aca="false">IF(ISNUMBER(SEARCH("Yes",P7)),N7,"")</f>
        <v/>
      </c>
      <c r="R7" s="14"/>
      <c r="S7" s="6" t="n">
        <v>43647</v>
      </c>
      <c r="T7" s="14" t="e">
        <f aca="false">INDEX(#ref!,MATCH('HR '!$A7,#ref!,0))</f>
        <v>#NAME?</v>
      </c>
      <c r="U7" s="14" t="e">
        <f aca="false">INDEX(#ref!,MATCH('HR '!$A7,#ref!,0))</f>
        <v>#NAME?</v>
      </c>
      <c r="V7" s="14" t="e">
        <f aca="false">INDEX(#ref!,MATCH('HR '!$A7,#ref!,0))</f>
        <v>#NAME?</v>
      </c>
      <c r="W7" s="17" t="e">
        <f aca="false">P7</f>
        <v>#NAME?</v>
      </c>
      <c r="X7" s="17" t="e">
        <f aca="false">IF(V7&gt;99.99,"Yes","No")</f>
        <v>#NAME?</v>
      </c>
      <c r="Y7" s="14" t="str">
        <f aca="false">IF(ISNUMBER(SEARCH("Yes",X7)),V7,"")</f>
        <v/>
      </c>
      <c r="Z7" s="14"/>
      <c r="AA7" s="16" t="n">
        <v>43678</v>
      </c>
      <c r="AB7" s="14" t="e">
        <f aca="false">INDEX(#ref!,MATCH('HR '!$A7,#ref!,0))</f>
        <v>#NAME?</v>
      </c>
      <c r="AC7" s="14" t="e">
        <f aca="false">INDEX(#ref!,MATCH('HR '!$A7,#ref!,0))</f>
        <v>#NAME?</v>
      </c>
      <c r="AD7" s="14" t="e">
        <f aca="false">INDEX(#ref!,MATCH('HR '!$A7,#ref!,0))</f>
        <v>#NAME?</v>
      </c>
      <c r="AE7" s="17" t="e">
        <f aca="false">X7</f>
        <v>#NAME?</v>
      </c>
      <c r="AF7" s="17" t="e">
        <f aca="false">IF(AD7&gt;99.99,"Yes","No")</f>
        <v>#NAME?</v>
      </c>
      <c r="AG7" s="14" t="str">
        <f aca="false">IF(ISNUMBER(SEARCH("Yes",AF7)),AD7,"")</f>
        <v/>
      </c>
      <c r="AH7" s="23"/>
      <c r="AI7" s="23"/>
      <c r="AJ7" s="23"/>
      <c r="AK7" s="23"/>
      <c r="AL7" s="6" t="n">
        <v>43709</v>
      </c>
      <c r="AM7" s="14" t="e">
        <f aca="false">INDEX(#ref!,MATCH('HR '!$A7,#ref!,0))</f>
        <v>#NAME?</v>
      </c>
      <c r="AN7" s="14" t="e">
        <f aca="false">INDEX(#ref!,MATCH('HR '!$A7,#ref!,0))</f>
        <v>#NAME?</v>
      </c>
      <c r="AO7" s="14" t="e">
        <f aca="false">INDEX(#ref!,MATCH('HR '!$A7,#ref!,0))</f>
        <v>#NAME?</v>
      </c>
      <c r="AP7" s="17" t="e">
        <f aca="false">AF7</f>
        <v>#NAME?</v>
      </c>
      <c r="AQ7" s="17" t="e">
        <f aca="false">IF(AO7&gt;99.99,"Yes","No")</f>
        <v>#NAME?</v>
      </c>
      <c r="AR7" s="14" t="str">
        <f aca="false">IF(ISNUMBER(SEARCH("Yes",AQ7)),AO7,"")</f>
        <v/>
      </c>
      <c r="AS7" s="23"/>
      <c r="AT7" s="23"/>
      <c r="AU7" s="23"/>
      <c r="AV7" s="23"/>
      <c r="AW7" s="16" t="n">
        <v>43739</v>
      </c>
      <c r="AX7" s="14" t="e">
        <f aca="false">INDEX(#ref!,MATCH('HR '!$A7,#ref!,0))</f>
        <v>#NAME?</v>
      </c>
      <c r="AY7" s="14" t="e">
        <f aca="false">INDEX(#ref!,MATCH('HR '!$A7,#ref!,0))</f>
        <v>#NAME?</v>
      </c>
      <c r="AZ7" s="14" t="e">
        <f aca="false">INDEX(#ref!,MATCH('HR '!$A7,#ref!,0))</f>
        <v>#NAME?</v>
      </c>
      <c r="BA7" s="17" t="e">
        <f aca="false">AQ7</f>
        <v>#NAME?</v>
      </c>
      <c r="BB7" s="17" t="e">
        <f aca="false">IF(AZ7&gt;99.99,"Yes","No")</f>
        <v>#NAME?</v>
      </c>
      <c r="BC7" s="14" t="str">
        <f aca="false">IF(ISNUMBER(SEARCH("Yes",BB7)),AZ7,"")</f>
        <v/>
      </c>
      <c r="BD7" s="28" t="s">
        <v>14</v>
      </c>
      <c r="BE7" s="23"/>
      <c r="BF7" s="23"/>
      <c r="BG7" s="23"/>
      <c r="BH7" s="6" t="n">
        <v>43770</v>
      </c>
      <c r="BI7" s="14" t="e">
        <f aca="false">INDEX(#ref!,MATCH('HR '!$A7,#ref!,0))</f>
        <v>#NAME?</v>
      </c>
      <c r="BJ7" s="14" t="e">
        <f aca="false">INDEX(#ref!,MATCH('HR '!$A7,#ref!,0))</f>
        <v>#NAME?</v>
      </c>
      <c r="BK7" s="14" t="e">
        <f aca="false">INDEX(#ref!,MATCH('HR '!$A7,#ref!,0))</f>
        <v>#NAME?</v>
      </c>
      <c r="BL7" s="17" t="e">
        <f aca="false">BB7</f>
        <v>#NAME?</v>
      </c>
      <c r="BM7" s="17" t="e">
        <f aca="false">IF(BK7&gt;99.99,"Yes","No")</f>
        <v>#NAME?</v>
      </c>
      <c r="BN7" s="14" t="str">
        <f aca="false">IF(ISNUMBER(SEARCH("Yes",BM7)),BK7,"")</f>
        <v/>
      </c>
      <c r="BO7" s="23" t="s">
        <v>14</v>
      </c>
      <c r="BP7" s="26"/>
      <c r="BQ7" s="26"/>
      <c r="BR7" s="26"/>
      <c r="BS7" s="16" t="n">
        <v>43800</v>
      </c>
      <c r="BT7" s="14" t="e">
        <f aca="false">INDEX(#ref!,MATCH('HR '!$A7,#ref!,0))</f>
        <v>#NAME?</v>
      </c>
      <c r="BU7" s="14" t="e">
        <f aca="false">INDEX(#ref!,MATCH('HR '!$A7,#ref!,0))</f>
        <v>#NAME?</v>
      </c>
      <c r="BV7" s="14" t="e">
        <f aca="false">INDEX(#ref!,MATCH('HR '!$A7,#ref!,0))</f>
        <v>#NAME?</v>
      </c>
      <c r="BW7" s="17" t="e">
        <f aca="false">BM7</f>
        <v>#NAME?</v>
      </c>
      <c r="BX7" s="17" t="e">
        <f aca="false">IF(BV7&gt;99.99,"Yes","No")</f>
        <v>#NAME?</v>
      </c>
      <c r="BY7" s="14" t="str">
        <f aca="false">IF(ISNUMBER(SEARCH("Yes",BX7)),BV7,"")</f>
        <v/>
      </c>
      <c r="BZ7" s="28"/>
      <c r="CA7" s="23"/>
      <c r="CB7" s="23"/>
      <c r="CC7" s="23"/>
      <c r="CD7" s="6" t="n">
        <v>43831</v>
      </c>
      <c r="CE7" s="14" t="e">
        <f aca="false">INDEX(#ref!,MATCH('HR '!$A7,#ref!,0))</f>
        <v>#NAME?</v>
      </c>
      <c r="CF7" s="14" t="e">
        <f aca="false">INDEX(#ref!,MATCH('HR '!$A7,#ref!,0))</f>
        <v>#NAME?</v>
      </c>
      <c r="CG7" s="14" t="e">
        <f aca="false">INDEX(#ref!,MATCH('HR '!$A7,#ref!,0))</f>
        <v>#NAME?</v>
      </c>
      <c r="CH7" s="17" t="e">
        <f aca="false">BX7</f>
        <v>#NAME?</v>
      </c>
      <c r="CI7" s="17" t="e">
        <f aca="false">IF(CG7&gt;99.99,"Yes","No")</f>
        <v>#NAME?</v>
      </c>
      <c r="CJ7" s="14" t="str">
        <f aca="false">IF(ISNUMBER(SEARCH("Yes",CI7)),CG7,"")</f>
        <v/>
      </c>
      <c r="CK7" s="23"/>
      <c r="CL7" s="26"/>
      <c r="CM7" s="26"/>
      <c r="CN7" s="26"/>
      <c r="CO7" s="16" t="n">
        <v>43862</v>
      </c>
      <c r="CP7" s="14" t="e">
        <f aca="false">INDEX(#ref!,MATCH('HR '!$A7,#ref!,0))</f>
        <v>#NAME?</v>
      </c>
      <c r="CQ7" s="14" t="e">
        <f aca="false">INDEX(#ref!,MATCH('HR '!$A7,#ref!,0))</f>
        <v>#NAME?</v>
      </c>
      <c r="CR7" s="14" t="e">
        <f aca="false">INDEX(#ref!,MATCH('HR '!$A7,#ref!,0))</f>
        <v>#NAME?</v>
      </c>
      <c r="CS7" s="17" t="e">
        <f aca="false">CI7</f>
        <v>#NAME?</v>
      </c>
      <c r="CT7" s="17" t="e">
        <f aca="false">IF(CR7&gt;99.99,"Yes","No")</f>
        <v>#NAME?</v>
      </c>
      <c r="CU7" s="14" t="str">
        <f aca="false">IF(ISNUMBER(SEARCH("Yes",CT7)),CR7,"")</f>
        <v/>
      </c>
      <c r="CV7" s="28"/>
      <c r="CW7" s="23"/>
      <c r="CX7" s="23"/>
      <c r="CY7" s="23"/>
      <c r="CZ7" s="6" t="n">
        <v>43891</v>
      </c>
      <c r="DA7" s="14" t="e">
        <f aca="false">INDEX(#ref!,MATCH('HR '!$A7,#ref!,0))</f>
        <v>#NAME?</v>
      </c>
      <c r="DB7" s="14" t="e">
        <f aca="false">INDEX(#ref!,MATCH('HR '!$A7,#ref!,0))</f>
        <v>#NAME?</v>
      </c>
      <c r="DC7" s="14" t="e">
        <f aca="false">INDEX(#ref!,MATCH('HR '!$A7,#ref!,0))</f>
        <v>#NAME?</v>
      </c>
      <c r="DD7" s="17" t="e">
        <f aca="false">CT7</f>
        <v>#NAME?</v>
      </c>
      <c r="DE7" s="17" t="e">
        <f aca="false">IF(DC7&gt;99.99,"Yes","No")</f>
        <v>#NAME?</v>
      </c>
      <c r="DF7" s="14" t="str">
        <f aca="false">IF(ISNUMBER(SEARCH("Yes",DE7)),DC7,"")</f>
        <v/>
      </c>
      <c r="DG7" s="28"/>
      <c r="DH7" s="23"/>
      <c r="DI7" s="23"/>
      <c r="DJ7" s="23"/>
      <c r="DK7" s="16" t="n">
        <v>43922</v>
      </c>
      <c r="DL7" s="14" t="e">
        <f aca="false">INDEX(#ref!,MATCH('HR '!$A7,#ref!,0))</f>
        <v>#NAME?</v>
      </c>
      <c r="DM7" s="14" t="e">
        <f aca="false">INDEX(#ref!,MATCH('HR '!$A7,#ref!,0))</f>
        <v>#NAME?</v>
      </c>
      <c r="DN7" s="14" t="e">
        <f aca="false">INDEX(#ref!,MATCH('HR '!$A7,#ref!,0))</f>
        <v>#NAME?</v>
      </c>
      <c r="DO7" s="17" t="e">
        <f aca="false">DE7</f>
        <v>#NAME?</v>
      </c>
      <c r="DP7" s="17" t="e">
        <f aca="false">IF(DN7&gt;99.99,"Yes","No")</f>
        <v>#NAME?</v>
      </c>
      <c r="DQ7" s="14" t="str">
        <f aca="false">IF(ISNUMBER(SEARCH("Yes",DP7)),DN7,"")</f>
        <v/>
      </c>
      <c r="DR7" s="28"/>
      <c r="DS7" s="23"/>
      <c r="DT7" s="23"/>
      <c r="DU7" s="23"/>
      <c r="DV7" s="6" t="n">
        <v>43952</v>
      </c>
      <c r="DW7" s="14" t="e">
        <f aca="false">INDEX(#ref!,MATCH('HR '!$A7,#ref!,0))</f>
        <v>#NAME?</v>
      </c>
      <c r="DX7" s="14" t="e">
        <f aca="false">INDEX(#ref!,MATCH('HR '!$A7,#ref!,0))</f>
        <v>#NAME?</v>
      </c>
      <c r="DY7" s="14" t="e">
        <f aca="false">INDEX(#ref!,MATCH('HR '!$A7,#ref!,0))</f>
        <v>#NAME?</v>
      </c>
      <c r="DZ7" s="17" t="e">
        <f aca="false">DP7</f>
        <v>#NAME?</v>
      </c>
      <c r="EA7" s="17" t="e">
        <f aca="false">IF(DY7&gt;99.99,"Yes","No")</f>
        <v>#NAME?</v>
      </c>
      <c r="EB7" s="14" t="str">
        <f aca="false">IF(ISNUMBER(SEARCH("Yes",EA7)),DY7,"")</f>
        <v/>
      </c>
      <c r="EC7" s="23"/>
      <c r="ED7" s="26"/>
      <c r="EE7" s="26"/>
      <c r="EF7" s="26"/>
      <c r="EG7" s="16" t="n">
        <v>43983</v>
      </c>
      <c r="EH7" s="14" t="e">
        <f aca="false">INDEX(#ref!,MATCH('HR '!$A7,#ref!,0))</f>
        <v>#NAME?</v>
      </c>
      <c r="EI7" s="14" t="e">
        <f aca="false">INDEX(#ref!,MATCH('HR '!$A7,#ref!,0))</f>
        <v>#NAME?</v>
      </c>
      <c r="EJ7" s="14" t="e">
        <f aca="false">INDEX(#ref!,MATCH('HR '!$A7,#ref!,0))</f>
        <v>#NAME?</v>
      </c>
      <c r="EK7" s="17" t="e">
        <f aca="false">EA7</f>
        <v>#NAME?</v>
      </c>
      <c r="EL7" s="17" t="e">
        <f aca="false">IF(EJ7&gt;99.99,"Yes","No")</f>
        <v>#NAME?</v>
      </c>
      <c r="EM7" s="14" t="str">
        <f aca="false">IF(ISNUMBER(SEARCH("Yes",EL7)),EJ7,"")</f>
        <v/>
      </c>
      <c r="EN7" s="23"/>
      <c r="EO7" s="26"/>
      <c r="EP7" s="26"/>
      <c r="EQ7" s="26"/>
      <c r="ER7" s="6" t="n">
        <v>44013</v>
      </c>
      <c r="ES7" s="14" t="e">
        <f aca="false">INDEX(#ref!,MATCH('HR '!$A7,#ref!,0))</f>
        <v>#NAME?</v>
      </c>
      <c r="ET7" s="14" t="e">
        <f aca="false">INDEX(#ref!,MATCH('HR '!$A7,#ref!,0))</f>
        <v>#NAME?</v>
      </c>
      <c r="EU7" s="14" t="e">
        <f aca="false">INDEX(#ref!,MATCH('HR '!$A7,#ref!,0))</f>
        <v>#NAME?</v>
      </c>
      <c r="EV7" s="17" t="e">
        <f aca="false">EL7</f>
        <v>#NAME?</v>
      </c>
      <c r="EW7" s="17" t="e">
        <f aca="false">IF(EU7&gt;99.99,"Yes","No")</f>
        <v>#NAME?</v>
      </c>
      <c r="EX7" s="14" t="str">
        <f aca="false">IF(ISNUMBER(SEARCH("Yes",EW7)),EU7,"")</f>
        <v/>
      </c>
      <c r="EY7" s="23"/>
      <c r="EZ7" s="26"/>
      <c r="FA7" s="26"/>
      <c r="FB7" s="26"/>
      <c r="FC7" s="16" t="e">
        <f aca="false">#ref!</f>
        <v>#NAME?</v>
      </c>
      <c r="FD7" s="14" t="e">
        <f aca="false">INDEX(#ref!,MATCH('HR '!$A7,#ref!,0))</f>
        <v>#NAME?</v>
      </c>
      <c r="FE7" s="14" t="e">
        <f aca="false">INDEX(#ref!,MATCH('HR '!$A7,#ref!,0))</f>
        <v>#NAME?</v>
      </c>
      <c r="FF7" s="14" t="e">
        <f aca="false">INDEX(#ref!,MATCH('HR '!$A7,#ref!,0))</f>
        <v>#NAME?</v>
      </c>
      <c r="FG7" s="17" t="e">
        <f aca="false">EW7</f>
        <v>#NAME?</v>
      </c>
      <c r="FH7" s="17" t="e">
        <f aca="false">IF(FF7&gt;99.99,"Yes","No")</f>
        <v>#NAME?</v>
      </c>
      <c r="FI7" s="14" t="str">
        <f aca="false">IF(ISNUMBER(SEARCH("Yes",FH7)),FF7,"")</f>
        <v/>
      </c>
      <c r="FJ7" s="23"/>
      <c r="FK7" s="26"/>
      <c r="FL7" s="26"/>
      <c r="FM7" s="26"/>
      <c r="FN7" s="6" t="e">
        <f aca="false">#ref!</f>
        <v>#NAME?</v>
      </c>
      <c r="FO7" s="14" t="e">
        <f aca="false">INDEX(#ref!,MATCH('HR '!$A7,#ref!,0))</f>
        <v>#NAME?</v>
      </c>
      <c r="FP7" s="14" t="e">
        <f aca="false">INDEX(#ref!,MATCH('HR '!$A7,#ref!,0))</f>
        <v>#NAME?</v>
      </c>
      <c r="FQ7" s="14" t="e">
        <f aca="false">INDEX(#ref!,MATCH('HR '!$A7,#ref!,0))</f>
        <v>#NAME?</v>
      </c>
      <c r="FR7" s="17" t="e">
        <f aca="false">FH7</f>
        <v>#NAME?</v>
      </c>
      <c r="FS7" s="31" t="e">
        <f aca="false">IF(FQ7&gt;99.99,"Yes","No")</f>
        <v>#NAME?</v>
      </c>
      <c r="FT7" s="14" t="str">
        <f aca="false">IF(ISNUMBER(SEARCH("Yes",FS7)),FQ7,"")</f>
        <v/>
      </c>
      <c r="FU7" s="23"/>
      <c r="FV7" s="26"/>
      <c r="FW7" s="26"/>
      <c r="FX7" s="26"/>
      <c r="FY7" s="33" t="n">
        <f aca="false">FY5</f>
        <v>44287</v>
      </c>
      <c r="FZ7" s="14" t="n">
        <v>19.98161946</v>
      </c>
      <c r="GA7" s="14" t="n">
        <v>165.5478</v>
      </c>
      <c r="GB7" s="14" t="n">
        <v>185.52941946</v>
      </c>
      <c r="GC7" s="17" t="e">
        <f aca="false">#ref!</f>
        <v>#NAME?</v>
      </c>
      <c r="GD7" s="31" t="str">
        <f aca="false">IF(GB7&gt;99.99,"Yes","No")</f>
        <v>Yes</v>
      </c>
      <c r="GE7" s="14" t="n">
        <f aca="false">IF(ISNUMBER(SEARCH("Yes",GD7)),GB7,"")</f>
        <v>185.52941946</v>
      </c>
      <c r="GF7" s="42" t="s">
        <v>16</v>
      </c>
      <c r="GG7" s="26"/>
      <c r="GH7" s="26"/>
      <c r="GI7" s="26"/>
      <c r="GJ7" s="36" t="n">
        <f aca="false">GJ6</f>
        <v>44317</v>
      </c>
      <c r="GK7" s="14" t="n">
        <f aca="false">INDEX('[1]May 2021'!$L$2:$L$29,MATCH('HR '!$A7,'[1]May 2021'!$A$2:$A$29,0))</f>
        <v>46.6739658</v>
      </c>
      <c r="GL7" s="14" t="n">
        <f aca="false">INDEX('[1]May 2021'!$M$2:$M$29,MATCH('HR '!$A7,'[1]May 2021'!$A$2:$A$29,0))</f>
        <v>396.694</v>
      </c>
      <c r="GM7" s="14" t="n">
        <f aca="false">INDEX('[1]May 2021'!$N$2:$N$29,MATCH('HR '!$A7,'[1]May 2021'!$A$2:$A$29,0))</f>
        <v>443.3679658</v>
      </c>
      <c r="GN7" s="17" t="str">
        <f aca="false">GD7</f>
        <v>Yes</v>
      </c>
      <c r="GO7" s="31" t="str">
        <f aca="false">IF(GM7&gt;99.99,"Yes","No")</f>
        <v>Yes</v>
      </c>
      <c r="GP7" s="14" t="n">
        <f aca="false">IF(ISNUMBER(SEARCH("Yes",GO7)),GM7,"")</f>
        <v>443.3679658</v>
      </c>
      <c r="GQ7" s="14"/>
      <c r="GR7" s="26"/>
      <c r="GS7" s="26"/>
      <c r="GT7" s="26"/>
    </row>
    <row r="8" customFormat="false" ht="14.9" hidden="false" customHeight="false" outlineLevel="0" collapsed="false">
      <c r="A8" s="12" t="n">
        <v>732</v>
      </c>
      <c r="B8" s="13"/>
      <c r="C8" s="6" t="n">
        <v>43586</v>
      </c>
      <c r="D8" s="14" t="e">
        <f aca="false">INDEX(#ref!,MATCH('HR '!A8,#ref!,0))</f>
        <v>#NAME?</v>
      </c>
      <c r="E8" s="14" t="e">
        <f aca="false">INDEX(#ref!,MATCH('HR '!$A8,#ref!,0))</f>
        <v>#NAME?</v>
      </c>
      <c r="F8" s="14" t="e">
        <f aca="false">INDEX(#ref!,MATCH('HR '!$A8,#ref!,0))</f>
        <v>#NAME?</v>
      </c>
      <c r="G8" s="14" t="s">
        <v>14</v>
      </c>
      <c r="H8" s="15" t="s">
        <v>15</v>
      </c>
      <c r="I8" s="14" t="e">
        <f aca="false">IF(ISNUMBER(SEARCH("Yes",H8)),F8,"")</f>
        <v>#NAME?</v>
      </c>
      <c r="J8" s="14"/>
      <c r="K8" s="16" t="n">
        <v>43617</v>
      </c>
      <c r="L8" s="14" t="e">
        <f aca="false">INDEX(#ref!,MATCH('HR '!$A8,#ref!,0))</f>
        <v>#NAME?</v>
      </c>
      <c r="M8" s="14" t="e">
        <f aca="false">INDEX(#ref!,MATCH('HR '!$A8,#ref!,0))</f>
        <v>#NAME?</v>
      </c>
      <c r="N8" s="14" t="e">
        <f aca="false">INDEX(#ref!,MATCH('HR '!$A8,#ref!,0))</f>
        <v>#NAME?</v>
      </c>
      <c r="O8" s="17" t="str">
        <f aca="false">H8</f>
        <v>Yes</v>
      </c>
      <c r="P8" s="17" t="e">
        <f aca="false">IF(N8&gt;99.99,"Yes","No")</f>
        <v>#NAME?</v>
      </c>
      <c r="Q8" s="14" t="str">
        <f aca="false">IF(ISNUMBER(SEARCH("Yes",P8)),N8,"")</f>
        <v/>
      </c>
      <c r="R8" s="14"/>
      <c r="S8" s="6" t="n">
        <v>43647</v>
      </c>
      <c r="T8" s="14" t="e">
        <f aca="false">INDEX(#ref!,MATCH('HR '!$A8,#ref!,0))</f>
        <v>#NAME?</v>
      </c>
      <c r="U8" s="14" t="e">
        <f aca="false">INDEX(#ref!,MATCH('HR '!$A8,#ref!,0))</f>
        <v>#NAME?</v>
      </c>
      <c r="V8" s="14" t="e">
        <f aca="false">INDEX(#ref!,MATCH('HR '!$A8,#ref!,0))</f>
        <v>#NAME?</v>
      </c>
      <c r="W8" s="17" t="e">
        <f aca="false">P8</f>
        <v>#NAME?</v>
      </c>
      <c r="X8" s="17" t="e">
        <f aca="false">IF(V8&gt;99.99,"Yes","No")</f>
        <v>#NAME?</v>
      </c>
      <c r="Y8" s="14" t="str">
        <f aca="false">IF(ISNUMBER(SEARCH("Yes",X8)),V8,"")</f>
        <v/>
      </c>
      <c r="Z8" s="14"/>
      <c r="AA8" s="16" t="n">
        <v>43678</v>
      </c>
      <c r="AB8" s="14" t="e">
        <f aca="false">INDEX(#ref!,MATCH('HR '!$A8,#ref!,0))</f>
        <v>#NAME?</v>
      </c>
      <c r="AC8" s="14" t="e">
        <f aca="false">INDEX(#ref!,MATCH('HR '!$A8,#ref!,0))</f>
        <v>#NAME?</v>
      </c>
      <c r="AD8" s="14" t="e">
        <f aca="false">INDEX(#ref!,MATCH('HR '!$A8,#ref!,0))</f>
        <v>#NAME?</v>
      </c>
      <c r="AE8" s="17" t="e">
        <f aca="false">X8</f>
        <v>#NAME?</v>
      </c>
      <c r="AF8" s="17" t="e">
        <f aca="false">IF(AD8&gt;99.99,"Yes","No")</f>
        <v>#NAME?</v>
      </c>
      <c r="AG8" s="14" t="str">
        <f aca="false">IF(ISNUMBER(SEARCH("Yes",AF8)),AD8,"")</f>
        <v/>
      </c>
      <c r="AH8" s="23"/>
      <c r="AI8" s="23"/>
      <c r="AJ8" s="23"/>
      <c r="AK8" s="23"/>
      <c r="AL8" s="6" t="n">
        <v>43709</v>
      </c>
      <c r="AM8" s="14" t="e">
        <f aca="false">INDEX(#ref!,MATCH('HR '!$A8,#ref!,0))</f>
        <v>#NAME?</v>
      </c>
      <c r="AN8" s="14" t="e">
        <f aca="false">INDEX(#ref!,MATCH('HR '!$A8,#ref!,0))</f>
        <v>#NAME?</v>
      </c>
      <c r="AO8" s="14" t="e">
        <f aca="false">INDEX(#ref!,MATCH('HR '!$A8,#ref!,0))</f>
        <v>#NAME?</v>
      </c>
      <c r="AP8" s="17" t="e">
        <f aca="false">AF8</f>
        <v>#NAME?</v>
      </c>
      <c r="AQ8" s="17" t="e">
        <f aca="false">IF(AO8&gt;99.99,"Yes","No")</f>
        <v>#NAME?</v>
      </c>
      <c r="AR8" s="14" t="str">
        <f aca="false">IF(ISNUMBER(SEARCH("Yes",AQ8)),AO8,"")</f>
        <v/>
      </c>
      <c r="AS8" s="23"/>
      <c r="AT8" s="23"/>
      <c r="AU8" s="23"/>
      <c r="AV8" s="23"/>
      <c r="AW8" s="16" t="n">
        <f aca="false">AW7</f>
        <v>43739</v>
      </c>
      <c r="AX8" s="14" t="e">
        <f aca="false">INDEX(#ref!,MATCH('HR '!$A8,#ref!,0))</f>
        <v>#NAME?</v>
      </c>
      <c r="AY8" s="14" t="e">
        <f aca="false">INDEX(#ref!,MATCH('HR '!$A8,#ref!,0))</f>
        <v>#NAME?</v>
      </c>
      <c r="AZ8" s="14" t="e">
        <f aca="false">INDEX(#ref!,MATCH('HR '!$A8,#ref!,0))</f>
        <v>#NAME?</v>
      </c>
      <c r="BA8" s="17" t="e">
        <f aca="false">AQ8</f>
        <v>#NAME?</v>
      </c>
      <c r="BB8" s="17" t="e">
        <f aca="false">IF(AZ8&gt;99.99,"Yes","No")</f>
        <v>#NAME?</v>
      </c>
      <c r="BC8" s="14" t="str">
        <f aca="false">IF(ISNUMBER(SEARCH("Yes",BB8)),AZ8,"")</f>
        <v/>
      </c>
      <c r="BD8" s="28" t="s">
        <v>14</v>
      </c>
      <c r="BE8" s="23"/>
      <c r="BF8" s="23"/>
      <c r="BG8" s="23"/>
      <c r="BH8" s="6" t="n">
        <v>43770</v>
      </c>
      <c r="BI8" s="14" t="e">
        <f aca="false">INDEX(#ref!,MATCH('HR '!$A8,#ref!,0))</f>
        <v>#NAME?</v>
      </c>
      <c r="BJ8" s="14" t="e">
        <f aca="false">INDEX(#ref!,MATCH('HR '!$A8,#ref!,0))</f>
        <v>#NAME?</v>
      </c>
      <c r="BK8" s="14" t="e">
        <f aca="false">INDEX(#ref!,MATCH('HR '!$A8,#ref!,0))</f>
        <v>#NAME?</v>
      </c>
      <c r="BL8" s="17" t="e">
        <f aca="false">BB8</f>
        <v>#NAME?</v>
      </c>
      <c r="BM8" s="17" t="e">
        <f aca="false">IF(BK8&gt;99.99,"Yes","No")</f>
        <v>#NAME?</v>
      </c>
      <c r="BN8" s="14" t="str">
        <f aca="false">IF(ISNUMBER(SEARCH("Yes",BM8)),BK8,"")</f>
        <v/>
      </c>
      <c r="BO8" s="23" t="s">
        <v>14</v>
      </c>
      <c r="BP8" s="26"/>
      <c r="BQ8" s="26"/>
      <c r="BR8" s="26"/>
      <c r="BS8" s="16" t="n">
        <f aca="false">BS7</f>
        <v>43800</v>
      </c>
      <c r="BT8" s="14" t="e">
        <f aca="false">INDEX(#ref!,MATCH('HR '!$A8,#ref!,0))</f>
        <v>#NAME?</v>
      </c>
      <c r="BU8" s="14" t="e">
        <f aca="false">INDEX(#ref!,MATCH('HR '!$A8,#ref!,0))</f>
        <v>#NAME?</v>
      </c>
      <c r="BV8" s="14" t="e">
        <f aca="false">INDEX(#ref!,MATCH('HR '!$A8,#ref!,0))</f>
        <v>#NAME?</v>
      </c>
      <c r="BW8" s="17" t="e">
        <f aca="false">BM8</f>
        <v>#NAME?</v>
      </c>
      <c r="BX8" s="17" t="e">
        <f aca="false">IF(BV8&gt;99.99,"Yes","No")</f>
        <v>#NAME?</v>
      </c>
      <c r="BY8" s="14" t="str">
        <f aca="false">IF(ISNUMBER(SEARCH("Yes",BX8)),BV8,"")</f>
        <v/>
      </c>
      <c r="BZ8" s="28"/>
      <c r="CA8" s="23"/>
      <c r="CB8" s="23"/>
      <c r="CC8" s="23"/>
      <c r="CD8" s="6" t="n">
        <v>43831</v>
      </c>
      <c r="CE8" s="14" t="e">
        <f aca="false">INDEX(#ref!,MATCH('HR '!$A8,#ref!,0))</f>
        <v>#NAME?</v>
      </c>
      <c r="CF8" s="14" t="e">
        <f aca="false">INDEX(#ref!,MATCH('HR '!$A8,#ref!,0))</f>
        <v>#NAME?</v>
      </c>
      <c r="CG8" s="14" t="e">
        <f aca="false">INDEX(#ref!,MATCH('HR '!$A8,#ref!,0))</f>
        <v>#NAME?</v>
      </c>
      <c r="CH8" s="17" t="e">
        <f aca="false">BX8</f>
        <v>#NAME?</v>
      </c>
      <c r="CI8" s="17" t="e">
        <f aca="false">IF(CG8&gt;99.99,"Yes","No")</f>
        <v>#NAME?</v>
      </c>
      <c r="CJ8" s="14" t="str">
        <f aca="false">IF(ISNUMBER(SEARCH("Yes",CI8)),CG8,"")</f>
        <v/>
      </c>
      <c r="CK8" s="23"/>
      <c r="CL8" s="26"/>
      <c r="CM8" s="26"/>
      <c r="CN8" s="26"/>
      <c r="CO8" s="16" t="n">
        <v>43862</v>
      </c>
      <c r="CP8" s="14" t="e">
        <f aca="false">INDEX(#ref!,MATCH('HR '!$A8,#ref!,0))</f>
        <v>#NAME?</v>
      </c>
      <c r="CQ8" s="14" t="e">
        <f aca="false">INDEX(#ref!,MATCH('HR '!$A8,#ref!,0))</f>
        <v>#NAME?</v>
      </c>
      <c r="CR8" s="14" t="e">
        <f aca="false">INDEX(#ref!,MATCH('HR '!$A8,#ref!,0))</f>
        <v>#NAME?</v>
      </c>
      <c r="CS8" s="17" t="e">
        <f aca="false">CI8</f>
        <v>#NAME?</v>
      </c>
      <c r="CT8" s="17" t="e">
        <f aca="false">IF(CR8&gt;99.99,"Yes","No")</f>
        <v>#NAME?</v>
      </c>
      <c r="CU8" s="14" t="str">
        <f aca="false">IF(ISNUMBER(SEARCH("Yes",CT8)),CR8,"")</f>
        <v/>
      </c>
      <c r="CV8" s="28"/>
      <c r="CW8" s="23"/>
      <c r="CX8" s="23"/>
      <c r="CY8" s="23"/>
      <c r="CZ8" s="6" t="n">
        <v>43891</v>
      </c>
      <c r="DA8" s="14" t="e">
        <f aca="false">INDEX(#ref!,MATCH('HR '!$A8,#ref!,0))</f>
        <v>#NAME?</v>
      </c>
      <c r="DB8" s="14" t="e">
        <f aca="false">INDEX(#ref!,MATCH('HR '!$A8,#ref!,0))</f>
        <v>#NAME?</v>
      </c>
      <c r="DC8" s="14" t="e">
        <f aca="false">INDEX(#ref!,MATCH('HR '!$A8,#ref!,0))</f>
        <v>#NAME?</v>
      </c>
      <c r="DD8" s="17" t="e">
        <f aca="false">CT8</f>
        <v>#NAME?</v>
      </c>
      <c r="DE8" s="17" t="e">
        <f aca="false">IF(DC8&gt;99.99,"Yes","No")</f>
        <v>#NAME?</v>
      </c>
      <c r="DF8" s="14" t="str">
        <f aca="false">IF(ISNUMBER(SEARCH("Yes",DE8)),DC8,"")</f>
        <v/>
      </c>
      <c r="DG8" s="28"/>
      <c r="DH8" s="23"/>
      <c r="DI8" s="23"/>
      <c r="DJ8" s="23"/>
      <c r="DK8" s="16" t="n">
        <v>43922</v>
      </c>
      <c r="DL8" s="14" t="e">
        <f aca="false">INDEX(#ref!,MATCH('HR '!$A8,#ref!,0))</f>
        <v>#NAME?</v>
      </c>
      <c r="DM8" s="14" t="e">
        <f aca="false">INDEX(#ref!,MATCH('HR '!$A8,#ref!,0))</f>
        <v>#NAME?</v>
      </c>
      <c r="DN8" s="14" t="e">
        <f aca="false">INDEX(#ref!,MATCH('HR '!$A8,#ref!,0))</f>
        <v>#NAME?</v>
      </c>
      <c r="DO8" s="17" t="e">
        <f aca="false">DE8</f>
        <v>#NAME?</v>
      </c>
      <c r="DP8" s="17" t="e">
        <f aca="false">IF(DN8&gt;99.99,"Yes","No")</f>
        <v>#NAME?</v>
      </c>
      <c r="DQ8" s="14" t="str">
        <f aca="false">IF(ISNUMBER(SEARCH("Yes",DP8)),DN8,"")</f>
        <v/>
      </c>
      <c r="DR8" s="28"/>
      <c r="DS8" s="23"/>
      <c r="DT8" s="23"/>
      <c r="DU8" s="23"/>
      <c r="DV8" s="6" t="n">
        <v>43952</v>
      </c>
      <c r="DW8" s="14" t="e">
        <f aca="false">INDEX(#ref!,MATCH('HR '!$A8,#ref!,0))</f>
        <v>#NAME?</v>
      </c>
      <c r="DX8" s="14" t="e">
        <f aca="false">INDEX(#ref!,MATCH('HR '!$A8,#ref!,0))</f>
        <v>#NAME?</v>
      </c>
      <c r="DY8" s="14" t="e">
        <f aca="false">INDEX(#ref!,MATCH('HR '!$A8,#ref!,0))</f>
        <v>#NAME?</v>
      </c>
      <c r="DZ8" s="17" t="e">
        <f aca="false">DP8</f>
        <v>#NAME?</v>
      </c>
      <c r="EA8" s="17" t="e">
        <f aca="false">IF(DY8&gt;99.99,"Yes","No")</f>
        <v>#NAME?</v>
      </c>
      <c r="EB8" s="14" t="str">
        <f aca="false">IF(ISNUMBER(SEARCH("Yes",EA8)),DY8,"")</f>
        <v/>
      </c>
      <c r="EC8" s="23"/>
      <c r="ED8" s="26"/>
      <c r="EE8" s="26"/>
      <c r="EF8" s="26"/>
      <c r="EG8" s="16" t="n">
        <v>43983</v>
      </c>
      <c r="EH8" s="14" t="e">
        <f aca="false">INDEX(#ref!,MATCH('HR '!$A8,#ref!,0))</f>
        <v>#NAME?</v>
      </c>
      <c r="EI8" s="14" t="e">
        <f aca="false">INDEX(#ref!,MATCH('HR '!$A8,#ref!,0))</f>
        <v>#NAME?</v>
      </c>
      <c r="EJ8" s="14" t="e">
        <f aca="false">INDEX(#ref!,MATCH('HR '!$A8,#ref!,0))</f>
        <v>#NAME?</v>
      </c>
      <c r="EK8" s="17" t="e">
        <f aca="false">EA8</f>
        <v>#NAME?</v>
      </c>
      <c r="EL8" s="17" t="e">
        <f aca="false">IF(EJ8&gt;99.99,"Yes","No")</f>
        <v>#NAME?</v>
      </c>
      <c r="EM8" s="14" t="str">
        <f aca="false">IF(ISNUMBER(SEARCH("Yes",EL8)),EJ8,"")</f>
        <v/>
      </c>
      <c r="EN8" s="23"/>
      <c r="EO8" s="26"/>
      <c r="EP8" s="26"/>
      <c r="EQ8" s="26"/>
      <c r="ER8" s="6" t="n">
        <v>44013</v>
      </c>
      <c r="ES8" s="14" t="e">
        <f aca="false">INDEX(#ref!,MATCH('HR '!$A8,#ref!,0))</f>
        <v>#NAME?</v>
      </c>
      <c r="ET8" s="14" t="e">
        <f aca="false">INDEX(#ref!,MATCH('HR '!$A8,#ref!,0))</f>
        <v>#NAME?</v>
      </c>
      <c r="EU8" s="14" t="e">
        <f aca="false">INDEX(#ref!,MATCH('HR '!$A8,#ref!,0))</f>
        <v>#NAME?</v>
      </c>
      <c r="EV8" s="17" t="e">
        <f aca="false">EL8</f>
        <v>#NAME?</v>
      </c>
      <c r="EW8" s="17" t="e">
        <f aca="false">IF(EU8&gt;99.99,"Yes","No")</f>
        <v>#NAME?</v>
      </c>
      <c r="EX8" s="14" t="str">
        <f aca="false">IF(ISNUMBER(SEARCH("Yes",EW8)),EU8,"")</f>
        <v/>
      </c>
      <c r="EY8" s="23"/>
      <c r="EZ8" s="26"/>
      <c r="FA8" s="26"/>
      <c r="FB8" s="26"/>
      <c r="FC8" s="16" t="e">
        <f aca="false">FC7</f>
        <v>#NAME?</v>
      </c>
      <c r="FD8" s="14" t="e">
        <f aca="false">INDEX(#ref!,MATCH('HR '!$A8,#ref!,0))</f>
        <v>#NAME?</v>
      </c>
      <c r="FE8" s="14" t="e">
        <f aca="false">INDEX(#ref!,MATCH('HR '!$A8,#ref!,0))</f>
        <v>#NAME?</v>
      </c>
      <c r="FF8" s="14" t="e">
        <f aca="false">INDEX(#ref!,MATCH('HR '!$A8,#ref!,0))</f>
        <v>#NAME?</v>
      </c>
      <c r="FG8" s="17" t="e">
        <f aca="false">EW8</f>
        <v>#NAME?</v>
      </c>
      <c r="FH8" s="17" t="e">
        <f aca="false">IF(FF8&gt;99.99,"Yes","No")</f>
        <v>#NAME?</v>
      </c>
      <c r="FI8" s="14" t="str">
        <f aca="false">IF(ISNUMBER(SEARCH("Yes",FH8)),FF8,"")</f>
        <v/>
      </c>
      <c r="FJ8" s="23"/>
      <c r="FK8" s="26"/>
      <c r="FL8" s="26"/>
      <c r="FM8" s="26"/>
      <c r="FN8" s="6" t="e">
        <f aca="false">FN7</f>
        <v>#NAME?</v>
      </c>
      <c r="FO8" s="14" t="e">
        <f aca="false">INDEX(#ref!,MATCH('HR '!$A8,#ref!,0))</f>
        <v>#NAME?</v>
      </c>
      <c r="FP8" s="14" t="e">
        <f aca="false">INDEX(#ref!,MATCH('HR '!$A8,#ref!,0))</f>
        <v>#NAME?</v>
      </c>
      <c r="FQ8" s="14" t="e">
        <f aca="false">INDEX(#ref!,MATCH('HR '!$A8,#ref!,0))</f>
        <v>#NAME?</v>
      </c>
      <c r="FR8" s="17" t="e">
        <f aca="false">FH8</f>
        <v>#NAME?</v>
      </c>
      <c r="FS8" s="31" t="e">
        <f aca="false">IF(FQ8&gt;99.99,"Yes","No")</f>
        <v>#NAME?</v>
      </c>
      <c r="FT8" s="14" t="str">
        <f aca="false">IF(ISNUMBER(SEARCH("Yes",FS8)),FQ8,"")</f>
        <v/>
      </c>
      <c r="FU8" s="23"/>
      <c r="FV8" s="26"/>
      <c r="FW8" s="26"/>
      <c r="FX8" s="26"/>
      <c r="FY8" s="33" t="n">
        <f aca="false">FY7</f>
        <v>44287</v>
      </c>
      <c r="FZ8" s="14" t="n">
        <v>29.07663</v>
      </c>
      <c r="GA8" s="14" t="n">
        <v>240.9</v>
      </c>
      <c r="GB8" s="14" t="n">
        <v>269.97663</v>
      </c>
      <c r="GC8" s="17" t="n">
        <v>10.11</v>
      </c>
      <c r="GD8" s="31" t="str">
        <f aca="false">IF(GB8&gt;99.99,"Yes","No")</f>
        <v>Yes</v>
      </c>
      <c r="GE8" s="14" t="s">
        <v>16</v>
      </c>
      <c r="GF8" s="42" t="s">
        <v>16</v>
      </c>
      <c r="GG8" s="26"/>
      <c r="GH8" s="26"/>
      <c r="GI8" s="26"/>
      <c r="GJ8" s="36" t="n">
        <f aca="false">GJ7</f>
        <v>44317</v>
      </c>
      <c r="GK8" s="14" t="n">
        <f aca="false">INDEX('[1]May 2021'!$L$2:$L$29,MATCH('HR '!$A8,'[1]May 2021'!$A$2:$A$29,0))</f>
        <v>59.9018409</v>
      </c>
      <c r="GL8" s="14" t="n">
        <f aca="false">INDEX('[1]May 2021'!$M$2:$M$29,MATCH('HR '!$A8,'[1]May 2021'!$A$2:$A$29,0))</f>
        <v>496.287</v>
      </c>
      <c r="GM8" s="14" t="n">
        <f aca="false">INDEX('[1]May 2021'!$N$2:$N$29,MATCH('HR '!$A8,'[1]May 2021'!$A$2:$A$29,0))</f>
        <v>556.1888409</v>
      </c>
      <c r="GN8" s="17" t="str">
        <f aca="false">GD8</f>
        <v>Yes</v>
      </c>
      <c r="GO8" s="31" t="str">
        <f aca="false">IF(GM8&gt;99.99,"Yes","No")</f>
        <v>Yes</v>
      </c>
      <c r="GP8" s="34" t="s">
        <v>20</v>
      </c>
      <c r="GQ8" s="34" t="s">
        <v>20</v>
      </c>
      <c r="GR8" s="35" t="n">
        <f aca="false">SUM(FZ8,GK8)</f>
        <v>88.9784709</v>
      </c>
      <c r="GS8" s="35" t="n">
        <f aca="false">SUM(GA8,GL8)</f>
        <v>737.187</v>
      </c>
      <c r="GT8" s="35" t="n">
        <f aca="false">SUM(GB8,GM8)</f>
        <v>826.1654709</v>
      </c>
    </row>
    <row r="9" customFormat="false" ht="14.9" hidden="false" customHeight="false" outlineLevel="0" collapsed="false">
      <c r="A9" s="12" t="n">
        <v>899</v>
      </c>
      <c r="B9" s="13"/>
      <c r="C9" s="43"/>
      <c r="D9" s="44"/>
      <c r="E9" s="44"/>
      <c r="F9" s="44"/>
      <c r="G9" s="44"/>
      <c r="H9" s="54"/>
      <c r="I9" s="44"/>
      <c r="J9" s="44"/>
      <c r="K9" s="43"/>
      <c r="L9" s="44"/>
      <c r="M9" s="44"/>
      <c r="N9" s="44"/>
      <c r="O9" s="46"/>
      <c r="P9" s="46"/>
      <c r="Q9" s="44"/>
      <c r="R9" s="44"/>
      <c r="S9" s="43"/>
      <c r="T9" s="44"/>
      <c r="U9" s="44"/>
      <c r="V9" s="44"/>
      <c r="W9" s="46"/>
      <c r="X9" s="46"/>
      <c r="Y9" s="44"/>
      <c r="Z9" s="44"/>
      <c r="AA9" s="43"/>
      <c r="AB9" s="44"/>
      <c r="AC9" s="44"/>
      <c r="AD9" s="44"/>
      <c r="AE9" s="46"/>
      <c r="AF9" s="46"/>
      <c r="AG9" s="44"/>
      <c r="AH9" s="48"/>
      <c r="AI9" s="48"/>
      <c r="AJ9" s="48"/>
      <c r="AK9" s="48"/>
      <c r="AL9" s="43"/>
      <c r="AM9" s="44"/>
      <c r="AN9" s="44"/>
      <c r="AO9" s="44"/>
      <c r="AP9" s="46"/>
      <c r="AQ9" s="46"/>
      <c r="AR9" s="44"/>
      <c r="AS9" s="48"/>
      <c r="AT9" s="48"/>
      <c r="AU9" s="48"/>
      <c r="AV9" s="48"/>
      <c r="AW9" s="43"/>
      <c r="AX9" s="44"/>
      <c r="AY9" s="44"/>
      <c r="AZ9" s="44"/>
      <c r="BA9" s="46"/>
      <c r="BB9" s="46"/>
      <c r="BC9" s="44"/>
      <c r="BD9" s="48"/>
      <c r="BE9" s="48"/>
      <c r="BF9" s="48"/>
      <c r="BG9" s="48"/>
      <c r="BH9" s="43"/>
      <c r="BI9" s="44"/>
      <c r="BJ9" s="44"/>
      <c r="BK9" s="44"/>
      <c r="BL9" s="46"/>
      <c r="BM9" s="46"/>
      <c r="BN9" s="44"/>
      <c r="BO9" s="48"/>
      <c r="BP9" s="49"/>
      <c r="BQ9" s="49"/>
      <c r="BR9" s="49"/>
      <c r="BS9" s="43"/>
      <c r="BT9" s="44"/>
      <c r="BU9" s="44"/>
      <c r="BV9" s="44"/>
      <c r="BW9" s="46"/>
      <c r="BX9" s="46"/>
      <c r="BY9" s="44"/>
      <c r="BZ9" s="48"/>
      <c r="CA9" s="48"/>
      <c r="CB9" s="48"/>
      <c r="CC9" s="48"/>
      <c r="CD9" s="43"/>
      <c r="CE9" s="44"/>
      <c r="CF9" s="44"/>
      <c r="CG9" s="44"/>
      <c r="CH9" s="46"/>
      <c r="CI9" s="46"/>
      <c r="CJ9" s="44"/>
      <c r="CK9" s="48"/>
      <c r="CL9" s="49"/>
      <c r="CM9" s="49"/>
      <c r="CN9" s="49"/>
      <c r="CO9" s="43"/>
      <c r="CP9" s="44"/>
      <c r="CQ9" s="44"/>
      <c r="CR9" s="44"/>
      <c r="CS9" s="46"/>
      <c r="CT9" s="46"/>
      <c r="CU9" s="44"/>
      <c r="CV9" s="48"/>
      <c r="CW9" s="48"/>
      <c r="CX9" s="48"/>
      <c r="CY9" s="48"/>
      <c r="CZ9" s="43"/>
      <c r="DA9" s="44"/>
      <c r="DB9" s="44"/>
      <c r="DC9" s="44"/>
      <c r="DD9" s="46"/>
      <c r="DE9" s="46"/>
      <c r="DF9" s="44"/>
      <c r="DG9" s="48"/>
      <c r="DH9" s="48"/>
      <c r="DI9" s="48"/>
      <c r="DJ9" s="48"/>
      <c r="DK9" s="43"/>
      <c r="DL9" s="44"/>
      <c r="DM9" s="44"/>
      <c r="DN9" s="44"/>
      <c r="DO9" s="46"/>
      <c r="DP9" s="46"/>
      <c r="DQ9" s="44"/>
      <c r="DR9" s="48"/>
      <c r="DS9" s="49"/>
      <c r="DT9" s="49"/>
      <c r="DU9" s="49"/>
      <c r="DV9" s="49"/>
      <c r="DW9" s="44"/>
      <c r="DX9" s="44"/>
      <c r="DY9" s="44"/>
      <c r="DZ9" s="46"/>
      <c r="EA9" s="46"/>
      <c r="EB9" s="44"/>
      <c r="EC9" s="48"/>
      <c r="ED9" s="49"/>
      <c r="EE9" s="49"/>
      <c r="EF9" s="49"/>
      <c r="EG9" s="16"/>
      <c r="EH9" s="14"/>
      <c r="EI9" s="14"/>
      <c r="EJ9" s="14"/>
      <c r="EK9" s="17"/>
      <c r="EL9" s="17"/>
      <c r="EM9" s="14"/>
      <c r="EN9" s="23"/>
      <c r="EO9" s="26"/>
      <c r="EP9" s="26"/>
      <c r="EQ9" s="26"/>
      <c r="ER9" s="6"/>
      <c r="ES9" s="14"/>
      <c r="ET9" s="14"/>
      <c r="EU9" s="14"/>
      <c r="EV9" s="17"/>
      <c r="EW9" s="17"/>
      <c r="EX9" s="14"/>
      <c r="EY9" s="23"/>
      <c r="EZ9" s="26"/>
      <c r="FA9" s="26"/>
      <c r="FB9" s="26"/>
      <c r="FC9" s="16"/>
      <c r="FD9" s="14"/>
      <c r="FE9" s="14"/>
      <c r="FF9" s="14"/>
      <c r="FG9" s="17"/>
      <c r="FH9" s="17"/>
      <c r="FI9" s="23"/>
      <c r="FJ9" s="23"/>
      <c r="FK9" s="14"/>
      <c r="FL9" s="14"/>
      <c r="FM9" s="14"/>
      <c r="FN9" s="6"/>
      <c r="FO9" s="14"/>
      <c r="FP9" s="14"/>
      <c r="FQ9" s="14"/>
      <c r="FR9" s="17"/>
      <c r="FS9" s="31"/>
      <c r="FT9" s="14"/>
      <c r="FU9" s="23"/>
      <c r="FV9" s="14"/>
      <c r="FW9" s="14"/>
      <c r="FX9" s="14"/>
      <c r="FY9" s="33" t="n">
        <f aca="false">FY8</f>
        <v>44287</v>
      </c>
      <c r="FZ9" s="14" t="n">
        <v>15.78741516</v>
      </c>
      <c r="GA9" s="14" t="n">
        <v>130.7988</v>
      </c>
      <c r="GB9" s="14" t="n">
        <v>146.58621516</v>
      </c>
      <c r="GC9" s="17" t="e">
        <f aca="false">#ref!</f>
        <v>#NAME?</v>
      </c>
      <c r="GD9" s="31" t="str">
        <f aca="false">IF(GB9&gt;99.99,"Yes","No")</f>
        <v>Yes</v>
      </c>
      <c r="GE9" s="14" t="n">
        <f aca="false">IF(ISNUMBER(SEARCH("Yes",GD9)),GB9,"")</f>
        <v>146.58621516</v>
      </c>
      <c r="GF9" s="40"/>
      <c r="GG9" s="26"/>
      <c r="GH9" s="26"/>
      <c r="GI9" s="26"/>
      <c r="GJ9" s="36" t="n">
        <f aca="false">GJ8</f>
        <v>44317</v>
      </c>
      <c r="GK9" s="14" t="n">
        <f aca="false">INDEX('[1]May 2021'!$L$2:$L$29,MATCH('HR '!$A9,'[1]May 2021'!$A$2:$A$29,0))</f>
        <v>19.98161946</v>
      </c>
      <c r="GL9" s="14" t="n">
        <f aca="false">INDEX('[1]May 2021'!$M$2:$M$29,MATCH('HR '!$A9,'[1]May 2021'!$A$2:$A$29,0))</f>
        <v>165.5478</v>
      </c>
      <c r="GM9" s="14" t="n">
        <f aca="false">INDEX('[1]May 2021'!$N$2:$N$29,MATCH('HR '!$A9,'[1]May 2021'!$A$2:$A$29,0))</f>
        <v>185.52941946</v>
      </c>
      <c r="GN9" s="17" t="str">
        <f aca="false">GD9</f>
        <v>Yes</v>
      </c>
      <c r="GO9" s="31" t="str">
        <f aca="false">IF(GM9&gt;99.99,"Yes","No")</f>
        <v>Yes</v>
      </c>
      <c r="GP9" s="14" t="n">
        <f aca="false">IF(ISNUMBER(SEARCH("Yes",GO9)),GM9,"")</f>
        <v>185.52941946</v>
      </c>
      <c r="GQ9" s="40"/>
      <c r="GR9" s="26"/>
      <c r="GS9" s="26"/>
      <c r="GT9" s="26"/>
    </row>
    <row r="10" customFormat="false" ht="14.9" hidden="false" customHeight="false" outlineLevel="0" collapsed="false">
      <c r="A10" s="12" t="n">
        <v>671</v>
      </c>
      <c r="B10" s="13"/>
      <c r="C10" s="6" t="n">
        <v>43586</v>
      </c>
      <c r="D10" s="14" t="e">
        <f aca="false">INDEX(#ref!,MATCH('HR '!A10,#ref!,0))</f>
        <v>#NAME?</v>
      </c>
      <c r="E10" s="14" t="e">
        <f aca="false">INDEX(#ref!,MATCH('HR '!$A10,#ref!,0))</f>
        <v>#NAME?</v>
      </c>
      <c r="F10" s="14" t="e">
        <f aca="false">INDEX(#ref!,MATCH('HR '!$A10,#ref!,0))</f>
        <v>#NAME?</v>
      </c>
      <c r="G10" s="14" t="s">
        <v>14</v>
      </c>
      <c r="H10" s="15" t="s">
        <v>15</v>
      </c>
      <c r="I10" s="14" t="e">
        <f aca="false">IF(ISNUMBER(SEARCH("Yes",H10)),F10,"")</f>
        <v>#NAME?</v>
      </c>
      <c r="J10" s="14"/>
      <c r="K10" s="16" t="n">
        <v>43617</v>
      </c>
      <c r="L10" s="14" t="e">
        <f aca="false">INDEX(#ref!,MATCH('HR '!$A10,#ref!,0))</f>
        <v>#NAME?</v>
      </c>
      <c r="M10" s="14" t="e">
        <f aca="false">INDEX(#ref!,MATCH('HR '!$A10,#ref!,0))</f>
        <v>#NAME?</v>
      </c>
      <c r="N10" s="14" t="e">
        <f aca="false">INDEX(#ref!,MATCH('HR '!$A10,#ref!,0))</f>
        <v>#NAME?</v>
      </c>
      <c r="O10" s="17" t="str">
        <f aca="false">H10</f>
        <v>Yes</v>
      </c>
      <c r="P10" s="17" t="e">
        <f aca="false">IF(N10&gt;99.99,"Yes","No")</f>
        <v>#NAME?</v>
      </c>
      <c r="Q10" s="14" t="str">
        <f aca="false">IF(ISNUMBER(SEARCH("Yes",P10)),N10,"")</f>
        <v/>
      </c>
      <c r="R10" s="14"/>
      <c r="S10" s="6" t="n">
        <v>43647</v>
      </c>
      <c r="T10" s="14" t="e">
        <f aca="false">INDEX(#ref!,MATCH('HR '!$A10,#ref!,0))</f>
        <v>#NAME?</v>
      </c>
      <c r="U10" s="14" t="e">
        <f aca="false">INDEX(#ref!,MATCH('HR '!$A10,#ref!,0))</f>
        <v>#NAME?</v>
      </c>
      <c r="V10" s="14" t="e">
        <f aca="false">INDEX(#ref!,MATCH('HR '!$A10,#ref!,0))</f>
        <v>#NAME?</v>
      </c>
      <c r="W10" s="17" t="e">
        <f aca="false">P10</f>
        <v>#NAME?</v>
      </c>
      <c r="X10" s="17" t="e">
        <f aca="false">IF(V10&gt;99.99,"Yes","No")</f>
        <v>#NAME?</v>
      </c>
      <c r="Y10" s="14" t="str">
        <f aca="false">IF(ISNUMBER(SEARCH("Yes",X10)),V10,"")</f>
        <v/>
      </c>
      <c r="Z10" s="14"/>
      <c r="AA10" s="16" t="n">
        <v>43678</v>
      </c>
      <c r="AB10" s="14" t="e">
        <f aca="false">INDEX(#ref!,MATCH('HR '!$A10,#ref!,0))</f>
        <v>#NAME?</v>
      </c>
      <c r="AC10" s="14" t="e">
        <f aca="false">INDEX(#ref!,MATCH('HR '!$A10,#ref!,0))</f>
        <v>#NAME?</v>
      </c>
      <c r="AD10" s="14" t="e">
        <f aca="false">INDEX(#ref!,MATCH('HR '!$A10,#ref!,0))</f>
        <v>#NAME?</v>
      </c>
      <c r="AE10" s="17" t="e">
        <f aca="false">X10</f>
        <v>#NAME?</v>
      </c>
      <c r="AF10" s="17" t="e">
        <f aca="false">IF(AD10&gt;99.99,"Yes","No")</f>
        <v>#NAME?</v>
      </c>
      <c r="AG10" s="14" t="str">
        <f aca="false">IF(ISNUMBER(SEARCH("Yes",AF10)),AD10,"")</f>
        <v/>
      </c>
      <c r="AH10" s="23"/>
      <c r="AI10" s="23"/>
      <c r="AJ10" s="23"/>
      <c r="AK10" s="23"/>
      <c r="AL10" s="6" t="n">
        <v>43709</v>
      </c>
      <c r="AM10" s="14" t="e">
        <f aca="false">INDEX(#ref!,MATCH('HR '!$A10,#ref!,0))</f>
        <v>#NAME?</v>
      </c>
      <c r="AN10" s="14" t="e">
        <f aca="false">INDEX(#ref!,MATCH('HR '!$A10,#ref!,0))</f>
        <v>#NAME?</v>
      </c>
      <c r="AO10" s="14" t="e">
        <f aca="false">INDEX(#ref!,MATCH('HR '!$A10,#ref!,0))</f>
        <v>#NAME?</v>
      </c>
      <c r="AP10" s="17" t="e">
        <f aca="false">AF10</f>
        <v>#NAME?</v>
      </c>
      <c r="AQ10" s="17" t="e">
        <f aca="false">IF(AO10&gt;99.99,"Yes","No")</f>
        <v>#NAME?</v>
      </c>
      <c r="AR10" s="14" t="str">
        <f aca="false">IF(ISNUMBER(SEARCH("Yes",AQ10)),AO10,"")</f>
        <v/>
      </c>
      <c r="AS10" s="23"/>
      <c r="AT10" s="23"/>
      <c r="AU10" s="23"/>
      <c r="AV10" s="23"/>
      <c r="AW10" s="16" t="n">
        <v>43739</v>
      </c>
      <c r="AX10" s="14" t="e">
        <f aca="false">INDEX(#ref!,MATCH('HR '!$A10,#ref!,0))</f>
        <v>#NAME?</v>
      </c>
      <c r="AY10" s="14" t="e">
        <f aca="false">INDEX(#ref!,MATCH('HR '!$A10,#ref!,0))</f>
        <v>#NAME?</v>
      </c>
      <c r="AZ10" s="14" t="e">
        <f aca="false">INDEX(#ref!,MATCH('HR '!$A10,#ref!,0))</f>
        <v>#NAME?</v>
      </c>
      <c r="BA10" s="17" t="e">
        <f aca="false">AQ10</f>
        <v>#NAME?</v>
      </c>
      <c r="BB10" s="17" t="e">
        <f aca="false">IF(AZ10&gt;99.99,"Yes","No")</f>
        <v>#NAME?</v>
      </c>
      <c r="BC10" s="14" t="str">
        <f aca="false">IF(ISNUMBER(SEARCH("Yes",BB10)),AZ10,"")</f>
        <v/>
      </c>
      <c r="BD10" s="28" t="s">
        <v>14</v>
      </c>
      <c r="BE10" s="23"/>
      <c r="BF10" s="23"/>
      <c r="BG10" s="23"/>
      <c r="BH10" s="6" t="n">
        <v>43770</v>
      </c>
      <c r="BI10" s="14" t="e">
        <f aca="false">INDEX(#ref!,MATCH('HR '!$A10,#ref!,0))</f>
        <v>#NAME?</v>
      </c>
      <c r="BJ10" s="14" t="e">
        <f aca="false">INDEX(#ref!,MATCH('HR '!$A10,#ref!,0))</f>
        <v>#NAME?</v>
      </c>
      <c r="BK10" s="14" t="e">
        <f aca="false">INDEX(#ref!,MATCH('HR '!$A10,#ref!,0))</f>
        <v>#NAME?</v>
      </c>
      <c r="BL10" s="17" t="e">
        <f aca="false">BB10</f>
        <v>#NAME?</v>
      </c>
      <c r="BM10" s="17" t="e">
        <f aca="false">IF(BK10&gt;99.99,"Yes","No")</f>
        <v>#NAME?</v>
      </c>
      <c r="BN10" s="14" t="str">
        <f aca="false">IF(ISNUMBER(SEARCH("Yes",BM10)),BK10,"")</f>
        <v/>
      </c>
      <c r="BO10" s="23" t="s">
        <v>14</v>
      </c>
      <c r="BP10" s="26"/>
      <c r="BQ10" s="26"/>
      <c r="BR10" s="26"/>
      <c r="BS10" s="16" t="n">
        <v>43800</v>
      </c>
      <c r="BT10" s="14" t="e">
        <f aca="false">INDEX(#ref!,MATCH('HR '!$A10,#ref!,0))</f>
        <v>#NAME?</v>
      </c>
      <c r="BU10" s="14" t="e">
        <f aca="false">INDEX(#ref!,MATCH('HR '!$A10,#ref!,0))</f>
        <v>#NAME?</v>
      </c>
      <c r="BV10" s="14" t="e">
        <f aca="false">INDEX(#ref!,MATCH('HR '!$A10,#ref!,0))</f>
        <v>#NAME?</v>
      </c>
      <c r="BW10" s="17" t="e">
        <f aca="false">BM10</f>
        <v>#NAME?</v>
      </c>
      <c r="BX10" s="17" t="e">
        <f aca="false">IF(BV10&gt;99.99,"Yes","No")</f>
        <v>#NAME?</v>
      </c>
      <c r="BY10" s="14" t="str">
        <f aca="false">IF(ISNUMBER(SEARCH("Yes",BX10)),BV10,"")</f>
        <v/>
      </c>
      <c r="BZ10" s="28"/>
      <c r="CA10" s="23"/>
      <c r="CB10" s="23"/>
      <c r="CC10" s="23"/>
      <c r="CD10" s="6" t="n">
        <v>43831</v>
      </c>
      <c r="CE10" s="14" t="e">
        <f aca="false">INDEX(#ref!,MATCH('HR '!$A10,#ref!,0))</f>
        <v>#NAME?</v>
      </c>
      <c r="CF10" s="14" t="e">
        <f aca="false">INDEX(#ref!,MATCH('HR '!$A10,#ref!,0))</f>
        <v>#NAME?</v>
      </c>
      <c r="CG10" s="14" t="e">
        <f aca="false">INDEX(#ref!,MATCH('HR '!$A10,#ref!,0))</f>
        <v>#NAME?</v>
      </c>
      <c r="CH10" s="17" t="e">
        <f aca="false">BX10</f>
        <v>#NAME?</v>
      </c>
      <c r="CI10" s="17" t="e">
        <f aca="false">IF(CG10&gt;99.99,"Yes","No")</f>
        <v>#NAME?</v>
      </c>
      <c r="CJ10" s="14" t="str">
        <f aca="false">IF(ISNUMBER(SEARCH("Yes",CI10)),CG10,"")</f>
        <v/>
      </c>
      <c r="CK10" s="23"/>
      <c r="CL10" s="26"/>
      <c r="CM10" s="26"/>
      <c r="CN10" s="26"/>
      <c r="CO10" s="16" t="n">
        <v>43862</v>
      </c>
      <c r="CP10" s="14" t="e">
        <f aca="false">INDEX(#ref!,MATCH('HR '!$A10,#ref!,0))</f>
        <v>#NAME?</v>
      </c>
      <c r="CQ10" s="14" t="e">
        <f aca="false">INDEX(#ref!,MATCH('HR '!$A10,#ref!,0))</f>
        <v>#NAME?</v>
      </c>
      <c r="CR10" s="14" t="e">
        <f aca="false">INDEX(#ref!,MATCH('HR '!$A10,#ref!,0))</f>
        <v>#NAME?</v>
      </c>
      <c r="CS10" s="17" t="e">
        <f aca="false">CI10</f>
        <v>#NAME?</v>
      </c>
      <c r="CT10" s="17" t="e">
        <f aca="false">IF(CR10&gt;99.99,"Yes","No")</f>
        <v>#NAME?</v>
      </c>
      <c r="CU10" s="14" t="str">
        <f aca="false">IF(ISNUMBER(SEARCH("Yes",CT10)),CR10,"")</f>
        <v/>
      </c>
      <c r="CV10" s="28"/>
      <c r="CW10" s="23"/>
      <c r="CX10" s="23"/>
      <c r="CY10" s="23"/>
      <c r="CZ10" s="6" t="n">
        <v>43891</v>
      </c>
      <c r="DA10" s="14" t="e">
        <f aca="false">INDEX(#ref!,MATCH('HR '!$A10,#ref!,0))</f>
        <v>#NAME?</v>
      </c>
      <c r="DB10" s="14" t="e">
        <f aca="false">INDEX(#ref!,MATCH('HR '!$A10,#ref!,0))</f>
        <v>#NAME?</v>
      </c>
      <c r="DC10" s="14" t="e">
        <f aca="false">INDEX(#ref!,MATCH('HR '!$A10,#ref!,0))</f>
        <v>#NAME?</v>
      </c>
      <c r="DD10" s="17" t="e">
        <f aca="false">CT10</f>
        <v>#NAME?</v>
      </c>
      <c r="DE10" s="17" t="e">
        <f aca="false">IF(DC10&gt;99.99,"Yes","No")</f>
        <v>#NAME?</v>
      </c>
      <c r="DF10" s="14" t="str">
        <f aca="false">IF(ISNUMBER(SEARCH("Yes",DE10)),DC10,"")</f>
        <v/>
      </c>
      <c r="DG10" s="28"/>
      <c r="DH10" s="23"/>
      <c r="DI10" s="23"/>
      <c r="DJ10" s="23"/>
      <c r="DK10" s="16" t="n">
        <v>43922</v>
      </c>
      <c r="DL10" s="14" t="e">
        <f aca="false">INDEX(#ref!,MATCH('HR '!$A10,#ref!,0))</f>
        <v>#NAME?</v>
      </c>
      <c r="DM10" s="14" t="e">
        <f aca="false">INDEX(#ref!,MATCH('HR '!$A10,#ref!,0))</f>
        <v>#NAME?</v>
      </c>
      <c r="DN10" s="14" t="e">
        <f aca="false">INDEX(#ref!,MATCH('HR '!$A10,#ref!,0))</f>
        <v>#NAME?</v>
      </c>
      <c r="DO10" s="17" t="e">
        <f aca="false">DE10</f>
        <v>#NAME?</v>
      </c>
      <c r="DP10" s="17" t="e">
        <f aca="false">IF(DN10&gt;99.99,"Yes","No")</f>
        <v>#NAME?</v>
      </c>
      <c r="DQ10" s="14" t="str">
        <f aca="false">IF(ISNUMBER(SEARCH("Yes",DP10)),DN10,"")</f>
        <v/>
      </c>
      <c r="DR10" s="28"/>
      <c r="DS10" s="23"/>
      <c r="DT10" s="23"/>
      <c r="DU10" s="23"/>
      <c r="DV10" s="6" t="n">
        <v>43952</v>
      </c>
      <c r="DW10" s="14" t="e">
        <f aca="false">INDEX(#ref!,MATCH('HR '!$A10,#ref!,0))</f>
        <v>#NAME?</v>
      </c>
      <c r="DX10" s="14" t="e">
        <f aca="false">INDEX(#ref!,MATCH('HR '!$A10,#ref!,0))</f>
        <v>#NAME?</v>
      </c>
      <c r="DY10" s="14" t="e">
        <f aca="false">INDEX(#ref!,MATCH('HR '!$A10,#ref!,0))</f>
        <v>#NAME?</v>
      </c>
      <c r="DZ10" s="17" t="e">
        <f aca="false">DP10</f>
        <v>#NAME?</v>
      </c>
      <c r="EA10" s="17" t="e">
        <f aca="false">IF(DY10&gt;99.99,"Yes","No")</f>
        <v>#NAME?</v>
      </c>
      <c r="EB10" s="14" t="str">
        <f aca="false">IF(ISNUMBER(SEARCH("Yes",EA10)),DY10,"")</f>
        <v/>
      </c>
      <c r="EC10" s="23" t="s">
        <v>16</v>
      </c>
      <c r="ED10" s="26"/>
      <c r="EE10" s="26"/>
      <c r="EF10" s="26"/>
      <c r="EG10" s="16" t="n">
        <v>43983</v>
      </c>
      <c r="EH10" s="14" t="e">
        <f aca="false">INDEX(#ref!,MATCH('HR '!$A10,#ref!,0))</f>
        <v>#NAME?</v>
      </c>
      <c r="EI10" s="14" t="e">
        <f aca="false">INDEX(#ref!,MATCH('HR '!$A10,#ref!,0))</f>
        <v>#NAME?</v>
      </c>
      <c r="EJ10" s="14" t="e">
        <f aca="false">INDEX(#ref!,MATCH('HR '!$A10,#ref!,0))</f>
        <v>#NAME?</v>
      </c>
      <c r="EK10" s="17" t="e">
        <f aca="false">EA10</f>
        <v>#NAME?</v>
      </c>
      <c r="EL10" s="17" t="e">
        <f aca="false">IF(EJ10&gt;99.99,"Yes","No")</f>
        <v>#NAME?</v>
      </c>
      <c r="EM10" s="14" t="str">
        <f aca="false">IF(ISNUMBER(SEARCH("Yes",EL10)),EJ10,"")</f>
        <v/>
      </c>
      <c r="EN10" s="23" t="s">
        <v>20</v>
      </c>
      <c r="EO10" s="26"/>
      <c r="EP10" s="26"/>
      <c r="EQ10" s="26"/>
      <c r="ER10" s="6" t="n">
        <v>44013</v>
      </c>
      <c r="ES10" s="14" t="e">
        <f aca="false">INDEX(#ref!,MATCH('HR '!$A10,#ref!,0))</f>
        <v>#NAME?</v>
      </c>
      <c r="ET10" s="14" t="e">
        <f aca="false">INDEX(#ref!,MATCH('HR '!$A10,#ref!,0))</f>
        <v>#NAME?</v>
      </c>
      <c r="EU10" s="14" t="e">
        <f aca="false">INDEX(#ref!,MATCH('HR '!$A10,#ref!,0))</f>
        <v>#NAME?</v>
      </c>
      <c r="EV10" s="17" t="e">
        <f aca="false">EL10</f>
        <v>#NAME?</v>
      </c>
      <c r="EW10" s="17" t="s">
        <v>15</v>
      </c>
      <c r="EX10" s="29" t="s">
        <v>23</v>
      </c>
      <c r="EY10" s="29" t="s">
        <v>23</v>
      </c>
      <c r="EZ10" s="26" t="e">
        <f aca="false">DW10+EH10+ES10</f>
        <v>#NAME?</v>
      </c>
      <c r="FA10" s="26" t="e">
        <f aca="false">DX10+EI10+ET10</f>
        <v>#NAME?</v>
      </c>
      <c r="FB10" s="26" t="e">
        <f aca="false">DY10+EJ10+EU10</f>
        <v>#NAME?</v>
      </c>
      <c r="FC10" s="16" t="e">
        <f aca="false">#ref!</f>
        <v>#NAME?</v>
      </c>
      <c r="FD10" s="14" t="e">
        <f aca="false">INDEX(#ref!,MATCH('HR '!$A10,#ref!,0))</f>
        <v>#NAME?</v>
      </c>
      <c r="FE10" s="14" t="e">
        <f aca="false">INDEX(#ref!,MATCH('HR '!$A10,#ref!,0))</f>
        <v>#NAME?</v>
      </c>
      <c r="FF10" s="14" t="e">
        <f aca="false">INDEX(#ref!,MATCH('HR '!$A10,#ref!,0))</f>
        <v>#NAME?</v>
      </c>
      <c r="FG10" s="17" t="str">
        <f aca="false">EW10</f>
        <v>Yes</v>
      </c>
      <c r="FH10" s="17" t="e">
        <f aca="false">IF(FF10&gt;99.99,"Yes","No")</f>
        <v>#NAME?</v>
      </c>
      <c r="FI10" s="14" t="str">
        <f aca="false">IF(ISNUMBER(SEARCH("Yes",FH10)),FF10,"")</f>
        <v/>
      </c>
      <c r="FJ10" s="23"/>
      <c r="FK10" s="26"/>
      <c r="FL10" s="26"/>
      <c r="FM10" s="26"/>
      <c r="FN10" s="6" t="e">
        <f aca="false">#ref!</f>
        <v>#NAME?</v>
      </c>
      <c r="FO10" s="14" t="e">
        <f aca="false">INDEX(#ref!,MATCH('HR '!$A10,#ref!,0))</f>
        <v>#NAME?</v>
      </c>
      <c r="FP10" s="14" t="e">
        <f aca="false">INDEX(#ref!,MATCH('HR '!$A10,#ref!,0))</f>
        <v>#NAME?</v>
      </c>
      <c r="FQ10" s="14" t="e">
        <f aca="false">INDEX(#ref!,MATCH('HR '!$A10,#ref!,0))</f>
        <v>#NAME?</v>
      </c>
      <c r="FR10" s="17" t="e">
        <f aca="false">FH10</f>
        <v>#NAME?</v>
      </c>
      <c r="FS10" s="31" t="e">
        <f aca="false">IF(FQ10&gt;99.99,"Yes","No")</f>
        <v>#NAME?</v>
      </c>
      <c r="FT10" s="14" t="str">
        <f aca="false">IF(ISNUMBER(SEARCH("Yes",FS10)),FQ10,"")</f>
        <v/>
      </c>
      <c r="FU10" s="23"/>
      <c r="FV10" s="26"/>
      <c r="FW10" s="26"/>
      <c r="FX10" s="26"/>
      <c r="FY10" s="33" t="n">
        <f aca="false">FY9</f>
        <v>44287</v>
      </c>
      <c r="FZ10" s="14" t="n">
        <v>45.46947636</v>
      </c>
      <c r="GA10" s="14" t="n">
        <v>376.7148</v>
      </c>
      <c r="GB10" s="14" t="n">
        <v>422.18427636</v>
      </c>
      <c r="GC10" s="17" t="e">
        <f aca="false">#ref!</f>
        <v>#NAME?</v>
      </c>
      <c r="GD10" s="31" t="str">
        <f aca="false">IF(GB10&gt;99.99,"Yes","No")</f>
        <v>Yes</v>
      </c>
      <c r="GE10" s="14" t="n">
        <f aca="false">IF(ISNUMBER(SEARCH("Yes",GD10)),GB10,"")</f>
        <v>422.18427636</v>
      </c>
      <c r="GF10" s="40"/>
      <c r="GG10" s="26"/>
      <c r="GH10" s="26"/>
      <c r="GI10" s="26"/>
      <c r="GJ10" s="36" t="n">
        <f aca="false">GJ9</f>
        <v>44317</v>
      </c>
      <c r="GK10" s="14" t="n">
        <f aca="false">INDEX('[1]May 2021'!$L$2:$L$29,MATCH('HR '!$A10,'[1]May 2021'!$A$2:$A$29,0))</f>
        <v>29.07663</v>
      </c>
      <c r="GL10" s="14" t="n">
        <f aca="false">INDEX('[1]May 2021'!$M$2:$M$29,MATCH('HR '!$A10,'[1]May 2021'!$A$2:$A$29,0))</f>
        <v>240.9</v>
      </c>
      <c r="GM10" s="14" t="n">
        <f aca="false">INDEX('[1]May 2021'!$N$2:$N$29,MATCH('HR '!$A10,'[1]May 2021'!$A$2:$A$29,0))</f>
        <v>269.97663</v>
      </c>
      <c r="GN10" s="17" t="str">
        <f aca="false">GD10</f>
        <v>Yes</v>
      </c>
      <c r="GO10" s="31" t="str">
        <f aca="false">IF(GM10&gt;99.99,"Yes","No")</f>
        <v>Yes</v>
      </c>
      <c r="GP10" s="14" t="n">
        <f aca="false">IF(ISNUMBER(SEARCH("Yes",GO10)),GM10,"")</f>
        <v>269.97663</v>
      </c>
      <c r="GQ10" s="40"/>
      <c r="GR10" s="26"/>
      <c r="GS10" s="26"/>
      <c r="GT10" s="26"/>
    </row>
    <row r="11" customFormat="false" ht="14.9" hidden="false" customHeight="false" outlineLevel="0" collapsed="false">
      <c r="A11" s="12" t="n">
        <v>556</v>
      </c>
      <c r="B11" s="13"/>
      <c r="C11" s="6" t="n">
        <v>43586</v>
      </c>
      <c r="D11" s="14" t="e">
        <f aca="false">INDEX(#ref!,MATCH('HR '!A11,#ref!,0))</f>
        <v>#NAME?</v>
      </c>
      <c r="E11" s="14" t="e">
        <f aca="false">INDEX(#ref!,MATCH('HR '!$A11,#ref!,0))</f>
        <v>#NAME?</v>
      </c>
      <c r="F11" s="14" t="e">
        <f aca="false">INDEX(#ref!,MATCH('HR '!$A11,#ref!,0))</f>
        <v>#NAME?</v>
      </c>
      <c r="G11" s="14" t="s">
        <v>14</v>
      </c>
      <c r="H11" s="15" t="s">
        <v>15</v>
      </c>
      <c r="I11" s="14" t="e">
        <f aca="false">IF(ISNUMBER(SEARCH("Yes",H11)),F11,"")</f>
        <v>#NAME?</v>
      </c>
      <c r="J11" s="14"/>
      <c r="K11" s="16" t="n">
        <v>43617</v>
      </c>
      <c r="L11" s="14" t="e">
        <f aca="false">INDEX(#ref!,MATCH('HR '!$A11,#ref!,0))</f>
        <v>#NAME?</v>
      </c>
      <c r="M11" s="14" t="e">
        <f aca="false">INDEX(#ref!,MATCH('HR '!$A11,#ref!,0))</f>
        <v>#NAME?</v>
      </c>
      <c r="N11" s="14" t="e">
        <f aca="false">INDEX(#ref!,MATCH('HR '!$A11,#ref!,0))</f>
        <v>#NAME?</v>
      </c>
      <c r="O11" s="17" t="e">
        <f aca="false">#ref!</f>
        <v>#NAME?</v>
      </c>
      <c r="P11" s="17" t="e">
        <f aca="false">IF(N11&gt;99.99,"Yes","No")</f>
        <v>#NAME?</v>
      </c>
      <c r="Q11" s="14" t="str">
        <f aca="false">IF(ISNUMBER(SEARCH("Yes",P11)),N11,"")</f>
        <v/>
      </c>
      <c r="R11" s="14"/>
      <c r="S11" s="6" t="n">
        <v>43647</v>
      </c>
      <c r="T11" s="14" t="e">
        <f aca="false">INDEX(#ref!,MATCH('HR '!$A11,#ref!,0))</f>
        <v>#NAME?</v>
      </c>
      <c r="U11" s="14" t="e">
        <f aca="false">INDEX(#ref!,MATCH('HR '!$A11,#ref!,0))</f>
        <v>#NAME?</v>
      </c>
      <c r="V11" s="14" t="e">
        <f aca="false">INDEX(#ref!,MATCH('HR '!$A11,#ref!,0))</f>
        <v>#NAME?</v>
      </c>
      <c r="W11" s="17" t="e">
        <f aca="false">P11</f>
        <v>#NAME?</v>
      </c>
      <c r="X11" s="17" t="e">
        <f aca="false">IF(V11&gt;99.99,"Yes","No")</f>
        <v>#NAME?</v>
      </c>
      <c r="Y11" s="14" t="str">
        <f aca="false">IF(ISNUMBER(SEARCH("Yes",X11)),V11,"")</f>
        <v/>
      </c>
      <c r="Z11" s="14"/>
      <c r="AA11" s="16" t="n">
        <v>43678</v>
      </c>
      <c r="AB11" s="14" t="e">
        <f aca="false">INDEX(#ref!,MATCH('HR '!$A11,#ref!,0))</f>
        <v>#NAME?</v>
      </c>
      <c r="AC11" s="14" t="e">
        <f aca="false">INDEX(#ref!,MATCH('HR '!$A11,#ref!,0))</f>
        <v>#NAME?</v>
      </c>
      <c r="AD11" s="14" t="e">
        <f aca="false">INDEX(#ref!,MATCH('HR '!$A11,#ref!,0))</f>
        <v>#NAME?</v>
      </c>
      <c r="AE11" s="17" t="e">
        <f aca="false">X11</f>
        <v>#NAME?</v>
      </c>
      <c r="AF11" s="17" t="e">
        <f aca="false">IF(AD11&gt;99.99,"Yes","No")</f>
        <v>#NAME?</v>
      </c>
      <c r="AG11" s="14" t="str">
        <f aca="false">IF(ISNUMBER(SEARCH("Yes",AF11)),AD11,"")</f>
        <v/>
      </c>
      <c r="AH11" s="23" t="s">
        <v>16</v>
      </c>
      <c r="AI11" s="23"/>
      <c r="AJ11" s="23"/>
      <c r="AK11" s="23"/>
      <c r="AL11" s="6" t="n">
        <v>43709</v>
      </c>
      <c r="AM11" s="14" t="e">
        <f aca="false">INDEX(#ref!,MATCH('HR '!$A11,#ref!,0))</f>
        <v>#NAME?</v>
      </c>
      <c r="AN11" s="14" t="e">
        <f aca="false">INDEX(#ref!,MATCH('HR '!$A11,#ref!,0))</f>
        <v>#NAME?</v>
      </c>
      <c r="AO11" s="14" t="e">
        <f aca="false">INDEX(#ref!,MATCH('HR '!$A11,#ref!,0))</f>
        <v>#NAME?</v>
      </c>
      <c r="AP11" s="17" t="e">
        <f aca="false">AF11</f>
        <v>#NAME?</v>
      </c>
      <c r="AQ11" s="17" t="e">
        <f aca="false">IF(AO11&gt;99.99,"Yes","No")</f>
        <v>#NAME?</v>
      </c>
      <c r="AR11" s="14" t="str">
        <f aca="false">IF(ISNUMBER(SEARCH("Yes",AQ11)),AO11,"")</f>
        <v/>
      </c>
      <c r="AS11" s="23" t="s">
        <v>20</v>
      </c>
      <c r="AT11" s="23"/>
      <c r="AU11" s="23"/>
      <c r="AV11" s="23"/>
      <c r="AW11" s="16" t="n">
        <f aca="false">AW10</f>
        <v>43739</v>
      </c>
      <c r="AX11" s="14" t="e">
        <f aca="false">INDEX(#ref!,MATCH('HR '!$A11,#ref!,0))</f>
        <v>#NAME?</v>
      </c>
      <c r="AY11" s="14" t="e">
        <f aca="false">INDEX(#ref!,MATCH('HR '!$A11,#ref!,0))</f>
        <v>#NAME?</v>
      </c>
      <c r="AZ11" s="14" t="e">
        <f aca="false">INDEX(#ref!,MATCH('HR '!$A11,#ref!,0))</f>
        <v>#NAME?</v>
      </c>
      <c r="BA11" s="17" t="e">
        <f aca="false">AQ11</f>
        <v>#NAME?</v>
      </c>
      <c r="BB11" s="17" t="s">
        <v>15</v>
      </c>
      <c r="BC11" s="19" t="n">
        <v>141.97061221</v>
      </c>
      <c r="BD11" s="30" t="s">
        <v>29</v>
      </c>
      <c r="BE11" s="26" t="e">
        <f aca="false">AB11+AM11+AX11</f>
        <v>#NAME?</v>
      </c>
      <c r="BF11" s="26" t="e">
        <f aca="false">AC11+AN11+AY11</f>
        <v>#NAME?</v>
      </c>
      <c r="BG11" s="26" t="e">
        <f aca="false">AD11+AO11+AZ11</f>
        <v>#NAME?</v>
      </c>
      <c r="BH11" s="6" t="n">
        <v>43770</v>
      </c>
      <c r="BI11" s="14" t="e">
        <f aca="false">INDEX(#ref!,MATCH('HR '!$A11,#ref!,0))</f>
        <v>#NAME?</v>
      </c>
      <c r="BJ11" s="14" t="e">
        <f aca="false">INDEX(#ref!,MATCH('HR '!$A11,#ref!,0))</f>
        <v>#NAME?</v>
      </c>
      <c r="BK11" s="14" t="e">
        <f aca="false">INDEX(#ref!,MATCH('HR '!$A11,#ref!,0))</f>
        <v>#NAME?</v>
      </c>
      <c r="BL11" s="17" t="str">
        <f aca="false">BB11</f>
        <v>Yes</v>
      </c>
      <c r="BM11" s="17" t="e">
        <f aca="false">IF(BK11&gt;99.99,"Yes","No")</f>
        <v>#NAME?</v>
      </c>
      <c r="BN11" s="14" t="str">
        <f aca="false">IF(ISNUMBER(SEARCH("Yes",BM11)),BK11,"")</f>
        <v/>
      </c>
      <c r="BO11" s="23" t="s">
        <v>14</v>
      </c>
      <c r="BP11" s="26"/>
      <c r="BQ11" s="26"/>
      <c r="BR11" s="26"/>
      <c r="BS11" s="16" t="n">
        <f aca="false">BS10</f>
        <v>43800</v>
      </c>
      <c r="BT11" s="14" t="e">
        <f aca="false">INDEX(#ref!,MATCH('HR '!$A11,#ref!,0))</f>
        <v>#NAME?</v>
      </c>
      <c r="BU11" s="14" t="e">
        <f aca="false">INDEX(#ref!,MATCH('HR '!$A11,#ref!,0))</f>
        <v>#NAME?</v>
      </c>
      <c r="BV11" s="14" t="e">
        <f aca="false">INDEX(#ref!,MATCH('HR '!$A11,#ref!,0))</f>
        <v>#NAME?</v>
      </c>
      <c r="BW11" s="17" t="e">
        <f aca="false">BM11</f>
        <v>#NAME?</v>
      </c>
      <c r="BX11" s="17" t="e">
        <f aca="false">IF(BV11&gt;99.99,"Yes","No")</f>
        <v>#NAME?</v>
      </c>
      <c r="BY11" s="14" t="str">
        <f aca="false">IF(ISNUMBER(SEARCH("Yes",BX11)),BV11,"")</f>
        <v/>
      </c>
      <c r="BZ11" s="28"/>
      <c r="CA11" s="26"/>
      <c r="CB11" s="26"/>
      <c r="CC11" s="26"/>
      <c r="CD11" s="6" t="n">
        <v>43831</v>
      </c>
      <c r="CE11" s="14" t="e">
        <f aca="false">INDEX(#ref!,MATCH('HR '!$A11,#ref!,0))</f>
        <v>#NAME?</v>
      </c>
      <c r="CF11" s="14" t="e">
        <f aca="false">INDEX(#ref!,MATCH('HR '!$A11,#ref!,0))</f>
        <v>#NAME?</v>
      </c>
      <c r="CG11" s="14" t="e">
        <f aca="false">INDEX(#ref!,MATCH('HR '!$A11,#ref!,0))</f>
        <v>#NAME?</v>
      </c>
      <c r="CH11" s="17" t="e">
        <f aca="false">BX11</f>
        <v>#NAME?</v>
      </c>
      <c r="CI11" s="17" t="e">
        <f aca="false">IF(CG11&gt;99.99,"Yes","No")</f>
        <v>#NAME?</v>
      </c>
      <c r="CJ11" s="14" t="str">
        <f aca="false">IF(ISNUMBER(SEARCH("Yes",CI11)),CG11,"")</f>
        <v/>
      </c>
      <c r="CK11" s="23"/>
      <c r="CL11" s="26"/>
      <c r="CM11" s="26"/>
      <c r="CN11" s="26"/>
      <c r="CO11" s="16" t="n">
        <v>43862</v>
      </c>
      <c r="CP11" s="14" t="e">
        <f aca="false">INDEX(#ref!,MATCH('HR '!$A11,#ref!,0))</f>
        <v>#NAME?</v>
      </c>
      <c r="CQ11" s="14" t="e">
        <f aca="false">INDEX(#ref!,MATCH('HR '!$A11,#ref!,0))</f>
        <v>#NAME?</v>
      </c>
      <c r="CR11" s="14" t="e">
        <f aca="false">INDEX(#ref!,MATCH('HR '!$A11,#ref!,0))</f>
        <v>#NAME?</v>
      </c>
      <c r="CS11" s="17" t="e">
        <f aca="false">CI11</f>
        <v>#NAME?</v>
      </c>
      <c r="CT11" s="17" t="e">
        <f aca="false">IF(CR11&gt;99.99,"Yes","No")</f>
        <v>#NAME?</v>
      </c>
      <c r="CU11" s="14" t="str">
        <f aca="false">IF(ISNUMBER(SEARCH("Yes",CT11)),CR11,"")</f>
        <v/>
      </c>
      <c r="CV11" s="28" t="s">
        <v>16</v>
      </c>
      <c r="CW11" s="26"/>
      <c r="CX11" s="26"/>
      <c r="CY11" s="26"/>
      <c r="CZ11" s="6" t="n">
        <v>43891</v>
      </c>
      <c r="DA11" s="14" t="e">
        <f aca="false">INDEX(#ref!,MATCH('HR '!$A11,#ref!,0))</f>
        <v>#NAME?</v>
      </c>
      <c r="DB11" s="14" t="e">
        <f aca="false">INDEX(#ref!,MATCH('HR '!$A11,#ref!,0))</f>
        <v>#NAME?</v>
      </c>
      <c r="DC11" s="14" t="e">
        <f aca="false">INDEX(#ref!,MATCH('HR '!$A11,#ref!,0))</f>
        <v>#NAME?</v>
      </c>
      <c r="DD11" s="17" t="e">
        <f aca="false">CT11</f>
        <v>#NAME?</v>
      </c>
      <c r="DE11" s="17" t="s">
        <v>15</v>
      </c>
      <c r="DF11" s="14" t="e">
        <f aca="false">DJ11</f>
        <v>#NAME?</v>
      </c>
      <c r="DG11" s="29" t="s">
        <v>35</v>
      </c>
      <c r="DH11" s="26" t="e">
        <f aca="false">CP11+DA11</f>
        <v>#NAME?</v>
      </c>
      <c r="DI11" s="26" t="e">
        <f aca="false">CQ11+DB11</f>
        <v>#NAME?</v>
      </c>
      <c r="DJ11" s="26" t="e">
        <f aca="false">CR11+DC11</f>
        <v>#NAME?</v>
      </c>
      <c r="DK11" s="16" t="n">
        <v>43922</v>
      </c>
      <c r="DL11" s="14" t="e">
        <f aca="false">INDEX(#ref!,MATCH('HR '!$A11,#ref!,0))</f>
        <v>#NAME?</v>
      </c>
      <c r="DM11" s="14" t="e">
        <f aca="false">INDEX(#ref!,MATCH('HR '!$A11,#ref!,0))</f>
        <v>#NAME?</v>
      </c>
      <c r="DN11" s="14" t="e">
        <f aca="false">INDEX(#ref!,MATCH('HR '!$A11,#ref!,0))</f>
        <v>#NAME?</v>
      </c>
      <c r="DO11" s="17" t="str">
        <f aca="false">DE11</f>
        <v>Yes</v>
      </c>
      <c r="DP11" s="17" t="s">
        <v>15</v>
      </c>
      <c r="DQ11" s="14" t="e">
        <f aca="false">IF(ISNUMBER(SEARCH("Yes",DP11)),DN11,"")</f>
        <v>#NAME?</v>
      </c>
      <c r="DR11" s="23"/>
      <c r="DS11" s="26"/>
      <c r="DT11" s="26"/>
      <c r="DU11" s="26"/>
      <c r="DV11" s="6" t="n">
        <v>43952</v>
      </c>
      <c r="DW11" s="14" t="e">
        <f aca="false">INDEX(#ref!,MATCH('HR '!$A11,#ref!,0))</f>
        <v>#NAME?</v>
      </c>
      <c r="DX11" s="14" t="e">
        <f aca="false">INDEX(#ref!,MATCH('HR '!$A11,#ref!,0))</f>
        <v>#NAME?</v>
      </c>
      <c r="DY11" s="14" t="e">
        <f aca="false">INDEX(#ref!,MATCH('HR '!$A11,#ref!,0))</f>
        <v>#NAME?</v>
      </c>
      <c r="DZ11" s="17" t="str">
        <f aca="false">DP11</f>
        <v>Yes</v>
      </c>
      <c r="EA11" s="17" t="e">
        <f aca="false">IF(DY11&gt;99.99,"Yes","No")</f>
        <v>#NAME?</v>
      </c>
      <c r="EB11" s="14" t="str">
        <f aca="false">IF(ISNUMBER(SEARCH("Yes",EA11)),DY11,"")</f>
        <v/>
      </c>
      <c r="EC11" s="23"/>
      <c r="ED11" s="26"/>
      <c r="EE11" s="26"/>
      <c r="EF11" s="26"/>
      <c r="EG11" s="16" t="n">
        <v>43983</v>
      </c>
      <c r="EH11" s="14" t="e">
        <f aca="false">INDEX(#ref!,MATCH('HR '!$A11,#ref!,0))</f>
        <v>#NAME?</v>
      </c>
      <c r="EI11" s="14" t="e">
        <f aca="false">INDEX(#ref!,MATCH('HR '!$A11,#ref!,0))</f>
        <v>#NAME?</v>
      </c>
      <c r="EJ11" s="14" t="e">
        <f aca="false">INDEX(#ref!,MATCH('HR '!$A11,#ref!,0))</f>
        <v>#NAME?</v>
      </c>
      <c r="EK11" s="17" t="e">
        <f aca="false">EA11</f>
        <v>#NAME?</v>
      </c>
      <c r="EL11" s="17" t="e">
        <f aca="false">IF(EJ11&gt;99.99,"Yes","No")</f>
        <v>#NAME?</v>
      </c>
      <c r="EM11" s="14" t="str">
        <f aca="false">IF(ISNUMBER(SEARCH("Yes",EL11)),EJ11,"")</f>
        <v/>
      </c>
      <c r="EN11" s="23"/>
      <c r="EO11" s="26"/>
      <c r="EP11" s="26"/>
      <c r="EQ11" s="26"/>
      <c r="ER11" s="6" t="n">
        <v>44013</v>
      </c>
      <c r="ES11" s="14" t="e">
        <f aca="false">INDEX(#ref!,MATCH('HR '!$A11,#ref!,0))</f>
        <v>#NAME?</v>
      </c>
      <c r="ET11" s="14" t="e">
        <f aca="false">INDEX(#ref!,MATCH('HR '!$A11,#ref!,0))</f>
        <v>#NAME?</v>
      </c>
      <c r="EU11" s="14" t="e">
        <f aca="false">INDEX(#ref!,MATCH('HR '!$A11,#ref!,0))</f>
        <v>#NAME?</v>
      </c>
      <c r="EV11" s="17" t="e">
        <f aca="false">EL11</f>
        <v>#NAME?</v>
      </c>
      <c r="EW11" s="17" t="e">
        <f aca="false">IF(EU11&gt;99.99,"Yes","No")</f>
        <v>#NAME?</v>
      </c>
      <c r="EX11" s="14" t="str">
        <f aca="false">IF(ISNUMBER(SEARCH("Yes",EW11)),EU11,"")</f>
        <v/>
      </c>
      <c r="EY11" s="23" t="s">
        <v>16</v>
      </c>
      <c r="EZ11" s="26"/>
      <c r="FA11" s="26"/>
      <c r="FB11" s="26"/>
      <c r="FC11" s="16" t="e">
        <f aca="false">FC10</f>
        <v>#NAME?</v>
      </c>
      <c r="FD11" s="14" t="e">
        <f aca="false">INDEX(#ref!,MATCH('HR '!$A11,#ref!,0))</f>
        <v>#NAME?</v>
      </c>
      <c r="FE11" s="14" t="e">
        <f aca="false">INDEX(#ref!,MATCH('HR '!$A11,#ref!,0))</f>
        <v>#NAME?</v>
      </c>
      <c r="FF11" s="14" t="e">
        <f aca="false">INDEX(#ref!,MATCH('HR '!$A11,#ref!,0))</f>
        <v>#NAME?</v>
      </c>
      <c r="FG11" s="17" t="e">
        <f aca="false">EW11</f>
        <v>#NAME?</v>
      </c>
      <c r="FH11" s="17" t="e">
        <f aca="false">IF(FF11&gt;99.99,"Yes","No")</f>
        <v>#NAME?</v>
      </c>
      <c r="FI11" s="14" t="str">
        <f aca="false">IF(ISNUMBER(SEARCH("Yes",FH11)),FF11,"")</f>
        <v/>
      </c>
      <c r="FJ11" s="30" t="s">
        <v>20</v>
      </c>
      <c r="FK11" s="26"/>
      <c r="FL11" s="26"/>
      <c r="FM11" s="26"/>
      <c r="FN11" s="6" t="e">
        <f aca="false">FN10</f>
        <v>#NAME?</v>
      </c>
      <c r="FO11" s="14" t="e">
        <f aca="false">INDEX(#ref!,MATCH('HR '!$A11,#ref!,0))</f>
        <v>#NAME?</v>
      </c>
      <c r="FP11" s="14" t="e">
        <f aca="false">INDEX(#ref!,MATCH('HR '!$A11,#ref!,0))</f>
        <v>#NAME?</v>
      </c>
      <c r="FQ11" s="14" t="e">
        <f aca="false">INDEX(#ref!,MATCH('HR '!$A11,#ref!,0))</f>
        <v>#NAME?</v>
      </c>
      <c r="FR11" s="17" t="e">
        <f aca="false">FH11</f>
        <v>#NAME?</v>
      </c>
      <c r="FS11" s="31" t="e">
        <f aca="false">IF(FQ11&gt;99.99,"Yes","No")</f>
        <v>#NAME?</v>
      </c>
      <c r="FT11" s="25" t="s">
        <v>23</v>
      </c>
      <c r="FU11" s="25" t="s">
        <v>23</v>
      </c>
      <c r="FV11" s="26" t="e">
        <f aca="false">SUM(ES11,FD11,FO11)</f>
        <v>#NAME?</v>
      </c>
      <c r="FW11" s="26" t="e">
        <f aca="false">SUM(ET11,FE11,FP11)</f>
        <v>#NAME?</v>
      </c>
      <c r="FX11" s="26" t="e">
        <f aca="false">SUM(EU11,FF11,FQ11)</f>
        <v>#NAME?</v>
      </c>
      <c r="FY11" s="33" t="n">
        <f aca="false">FY10</f>
        <v>44287</v>
      </c>
      <c r="FZ11" s="14" t="n">
        <v>0.29036799</v>
      </c>
      <c r="GA11" s="14" t="n">
        <v>2.4057</v>
      </c>
      <c r="GB11" s="14" t="n">
        <v>2.69606799</v>
      </c>
      <c r="GC11" s="17" t="e">
        <f aca="false">#ref!</f>
        <v>#NAME?</v>
      </c>
      <c r="GD11" s="31" t="str">
        <f aca="false">IF(GB11&gt;99.99,"Yes","No")</f>
        <v>No</v>
      </c>
      <c r="GE11" s="14" t="str">
        <f aca="false">IF(ISNUMBER(SEARCH("Yes",GD11)),GB11,"")</f>
        <v/>
      </c>
      <c r="GF11" s="40"/>
      <c r="GG11" s="26"/>
      <c r="GH11" s="26"/>
      <c r="GI11" s="26"/>
      <c r="GJ11" s="36" t="n">
        <f aca="false">GJ10</f>
        <v>44317</v>
      </c>
      <c r="GK11" s="14" t="n">
        <f aca="false">INDEX('[1]May 2021'!$L$2:$L$29,MATCH('HR '!$A11,'[1]May 2021'!$A$2:$A$29,0))</f>
        <v>15.78741516</v>
      </c>
      <c r="GL11" s="14" t="n">
        <f aca="false">INDEX('[1]May 2021'!$M$2:$M$29,MATCH('HR '!$A11,'[1]May 2021'!$A$2:$A$29,0))</f>
        <v>130.7988</v>
      </c>
      <c r="GM11" s="14" t="n">
        <f aca="false">INDEX('[1]May 2021'!$N$2:$N$29,MATCH('HR '!$A11,'[1]May 2021'!$A$2:$A$29,0))</f>
        <v>146.58621516</v>
      </c>
      <c r="GN11" s="17" t="str">
        <f aca="false">GD11</f>
        <v>No</v>
      </c>
      <c r="GO11" s="31" t="str">
        <f aca="false">IF(GM11&gt;99.99,"Yes","No")</f>
        <v>Yes</v>
      </c>
      <c r="GP11" s="14" t="n">
        <f aca="false">IF(ISNUMBER(SEARCH("Yes",GO11)),GM11,"")</f>
        <v>146.58621516</v>
      </c>
      <c r="GQ11" s="40"/>
      <c r="GR11" s="26"/>
      <c r="GS11" s="26"/>
      <c r="GT11" s="26"/>
    </row>
    <row r="12" customFormat="false" ht="14.9" hidden="false" customHeight="false" outlineLevel="0" collapsed="false">
      <c r="A12" s="12" t="n">
        <v>817</v>
      </c>
      <c r="B12" s="13"/>
      <c r="C12" s="6" t="n">
        <v>43586</v>
      </c>
      <c r="D12" s="14" t="e">
        <f aca="false">INDEX(#ref!,MATCH('HR '!A12,#ref!,0))</f>
        <v>#NAME?</v>
      </c>
      <c r="E12" s="14" t="e">
        <f aca="false">INDEX(#ref!,MATCH('HR '!$A12,#ref!,0))</f>
        <v>#NAME?</v>
      </c>
      <c r="F12" s="14" t="e">
        <f aca="false">INDEX(#ref!,MATCH('HR '!$A12,#ref!,0))</f>
        <v>#NAME?</v>
      </c>
      <c r="G12" s="14" t="s">
        <v>14</v>
      </c>
      <c r="H12" s="15" t="s">
        <v>15</v>
      </c>
      <c r="I12" s="14" t="e">
        <f aca="false">IF(ISNUMBER(SEARCH("Yes",H12)),F12,"")</f>
        <v>#NAME?</v>
      </c>
      <c r="J12" s="14"/>
      <c r="K12" s="16" t="n">
        <v>43617</v>
      </c>
      <c r="L12" s="14" t="e">
        <f aca="false">INDEX(#ref!,MATCH('HR '!$A12,#ref!,0))</f>
        <v>#NAME?</v>
      </c>
      <c r="M12" s="14" t="e">
        <f aca="false">INDEX(#ref!,MATCH('HR '!$A12,#ref!,0))</f>
        <v>#NAME?</v>
      </c>
      <c r="N12" s="14" t="e">
        <f aca="false">INDEX(#ref!,MATCH('HR '!$A12,#ref!,0))</f>
        <v>#NAME?</v>
      </c>
      <c r="O12" s="17" t="e">
        <f aca="false">#ref!</f>
        <v>#NAME?</v>
      </c>
      <c r="P12" s="17" t="e">
        <f aca="false">IF(N12&gt;99.99,"Yes","No")</f>
        <v>#NAME?</v>
      </c>
      <c r="Q12" s="14" t="str">
        <f aca="false">IF(ISNUMBER(SEARCH("Yes",P12)),N12,"")</f>
        <v/>
      </c>
      <c r="R12" s="14"/>
      <c r="S12" s="6" t="n">
        <v>43647</v>
      </c>
      <c r="T12" s="14" t="e">
        <f aca="false">INDEX(#ref!,MATCH('HR '!$A12,#ref!,0))</f>
        <v>#NAME?</v>
      </c>
      <c r="U12" s="14" t="e">
        <f aca="false">INDEX(#ref!,MATCH('HR '!$A12,#ref!,0))</f>
        <v>#NAME?</v>
      </c>
      <c r="V12" s="14" t="e">
        <f aca="false">INDEX(#ref!,MATCH('HR '!$A12,#ref!,0))</f>
        <v>#NAME?</v>
      </c>
      <c r="W12" s="17" t="e">
        <f aca="false">P12</f>
        <v>#NAME?</v>
      </c>
      <c r="X12" s="17" t="e">
        <f aca="false">IF(V12&gt;99.99,"Yes","No")</f>
        <v>#NAME?</v>
      </c>
      <c r="Y12" s="14" t="str">
        <f aca="false">IF(ISNUMBER(SEARCH("Yes",X12)),V12,"")</f>
        <v/>
      </c>
      <c r="Z12" s="14"/>
      <c r="AA12" s="16" t="n">
        <v>43678</v>
      </c>
      <c r="AB12" s="14" t="e">
        <f aca="false">INDEX(#ref!,MATCH('HR '!$A12,#ref!,0))</f>
        <v>#NAME?</v>
      </c>
      <c r="AC12" s="14" t="e">
        <f aca="false">INDEX(#ref!,MATCH('HR '!$A12,#ref!,0))</f>
        <v>#NAME?</v>
      </c>
      <c r="AD12" s="14" t="e">
        <f aca="false">INDEX(#ref!,MATCH('HR '!$A12,#ref!,0))</f>
        <v>#NAME?</v>
      </c>
      <c r="AE12" s="17" t="e">
        <f aca="false">X12</f>
        <v>#NAME?</v>
      </c>
      <c r="AF12" s="17" t="e">
        <f aca="false">IF(AD12&gt;99.99,"Yes","No")</f>
        <v>#NAME?</v>
      </c>
      <c r="AG12" s="14" t="str">
        <f aca="false">IF(ISNUMBER(SEARCH("Yes",AF12)),AD12,"")</f>
        <v/>
      </c>
      <c r="AH12" s="23"/>
      <c r="AI12" s="23"/>
      <c r="AJ12" s="23"/>
      <c r="AK12" s="23"/>
      <c r="AL12" s="6" t="n">
        <v>43709</v>
      </c>
      <c r="AM12" s="14" t="e">
        <f aca="false">INDEX(#ref!,MATCH('HR '!$A12,#ref!,0))</f>
        <v>#NAME?</v>
      </c>
      <c r="AN12" s="14" t="e">
        <f aca="false">INDEX(#ref!,MATCH('HR '!$A12,#ref!,0))</f>
        <v>#NAME?</v>
      </c>
      <c r="AO12" s="14" t="e">
        <f aca="false">INDEX(#ref!,MATCH('HR '!$A12,#ref!,0))</f>
        <v>#NAME?</v>
      </c>
      <c r="AP12" s="17" t="e">
        <f aca="false">AF12</f>
        <v>#NAME?</v>
      </c>
      <c r="AQ12" s="17" t="e">
        <f aca="false">IF(AO12&gt;99.99,"Yes","No")</f>
        <v>#NAME?</v>
      </c>
      <c r="AR12" s="14" t="str">
        <f aca="false">IF(ISNUMBER(SEARCH("Yes",AQ12)),AO12,"")</f>
        <v/>
      </c>
      <c r="AS12" s="23"/>
      <c r="AT12" s="23"/>
      <c r="AU12" s="23"/>
      <c r="AV12" s="23"/>
      <c r="AW12" s="16" t="n">
        <v>43739</v>
      </c>
      <c r="AX12" s="14" t="e">
        <f aca="false">INDEX(#ref!,MATCH('HR '!$A12,#ref!,0))</f>
        <v>#NAME?</v>
      </c>
      <c r="AY12" s="14" t="e">
        <f aca="false">INDEX(#ref!,MATCH('HR '!$A12,#ref!,0))</f>
        <v>#NAME?</v>
      </c>
      <c r="AZ12" s="14" t="e">
        <f aca="false">INDEX(#ref!,MATCH('HR '!$A12,#ref!,0))</f>
        <v>#NAME?</v>
      </c>
      <c r="BA12" s="17" t="e">
        <f aca="false">AQ12</f>
        <v>#NAME?</v>
      </c>
      <c r="BB12" s="17" t="e">
        <f aca="false">IF(AZ12&gt;99.99,"Yes","No")</f>
        <v>#NAME?</v>
      </c>
      <c r="BC12" s="14" t="str">
        <f aca="false">IF(ISNUMBER(SEARCH("Yes",BB12)),AZ12,"")</f>
        <v/>
      </c>
      <c r="BD12" s="28" t="s">
        <v>14</v>
      </c>
      <c r="BE12" s="23"/>
      <c r="BF12" s="23"/>
      <c r="BG12" s="23"/>
      <c r="BH12" s="6" t="n">
        <v>43770</v>
      </c>
      <c r="BI12" s="14" t="e">
        <f aca="false">INDEX(#ref!,MATCH('HR '!$A12,#ref!,0))</f>
        <v>#NAME?</v>
      </c>
      <c r="BJ12" s="14" t="e">
        <f aca="false">INDEX(#ref!,MATCH('HR '!$A12,#ref!,0))</f>
        <v>#NAME?</v>
      </c>
      <c r="BK12" s="14" t="e">
        <f aca="false">INDEX(#ref!,MATCH('HR '!$A12,#ref!,0))</f>
        <v>#NAME?</v>
      </c>
      <c r="BL12" s="17" t="e">
        <f aca="false">BB12</f>
        <v>#NAME?</v>
      </c>
      <c r="BM12" s="17" t="e">
        <f aca="false">IF(BK12&gt;99.99,"Yes","No")</f>
        <v>#NAME?</v>
      </c>
      <c r="BN12" s="14" t="str">
        <f aca="false">IF(ISNUMBER(SEARCH("Yes",BM12)),BK12,"")</f>
        <v/>
      </c>
      <c r="BO12" s="23" t="s">
        <v>14</v>
      </c>
      <c r="BP12" s="26"/>
      <c r="BQ12" s="26"/>
      <c r="BR12" s="26"/>
      <c r="BS12" s="16" t="n">
        <v>43800</v>
      </c>
      <c r="BT12" s="14" t="e">
        <f aca="false">INDEX(#ref!,MATCH('HR '!$A12,#ref!,0))</f>
        <v>#NAME?</v>
      </c>
      <c r="BU12" s="14" t="e">
        <f aca="false">INDEX(#ref!,MATCH('HR '!$A12,#ref!,0))</f>
        <v>#NAME?</v>
      </c>
      <c r="BV12" s="14" t="e">
        <f aca="false">INDEX(#ref!,MATCH('HR '!$A12,#ref!,0))</f>
        <v>#NAME?</v>
      </c>
      <c r="BW12" s="17" t="e">
        <f aca="false">BM12</f>
        <v>#NAME?</v>
      </c>
      <c r="BX12" s="17" t="e">
        <f aca="false">IF(BV12&gt;99.99,"Yes","No")</f>
        <v>#NAME?</v>
      </c>
      <c r="BY12" s="14" t="str">
        <f aca="false">IF(ISNUMBER(SEARCH("Yes",BX12)),BV12,"")</f>
        <v/>
      </c>
      <c r="BZ12" s="28"/>
      <c r="CA12" s="23"/>
      <c r="CB12" s="23"/>
      <c r="CC12" s="23"/>
      <c r="CD12" s="6" t="n">
        <v>43831</v>
      </c>
      <c r="CE12" s="14" t="e">
        <f aca="false">INDEX(#ref!,MATCH('HR '!$A12,#ref!,0))</f>
        <v>#NAME?</v>
      </c>
      <c r="CF12" s="14" t="e">
        <f aca="false">INDEX(#ref!,MATCH('HR '!$A12,#ref!,0))</f>
        <v>#NAME?</v>
      </c>
      <c r="CG12" s="14" t="e">
        <f aca="false">INDEX(#ref!,MATCH('HR '!$A12,#ref!,0))</f>
        <v>#NAME?</v>
      </c>
      <c r="CH12" s="17" t="e">
        <f aca="false">BX12</f>
        <v>#NAME?</v>
      </c>
      <c r="CI12" s="17" t="e">
        <f aca="false">IF(CG12&gt;99.99,"Yes","No")</f>
        <v>#NAME?</v>
      </c>
      <c r="CJ12" s="14" t="str">
        <f aca="false">IF(ISNUMBER(SEARCH("Yes",CI12)),CG12,"")</f>
        <v/>
      </c>
      <c r="CK12" s="23"/>
      <c r="CL12" s="26"/>
      <c r="CM12" s="26"/>
      <c r="CN12" s="26"/>
      <c r="CO12" s="16" t="n">
        <v>43862</v>
      </c>
      <c r="CP12" s="14" t="e">
        <f aca="false">INDEX(#ref!,MATCH('HR '!$A12,#ref!,0))</f>
        <v>#NAME?</v>
      </c>
      <c r="CQ12" s="14" t="e">
        <f aca="false">INDEX(#ref!,MATCH('HR '!$A12,#ref!,0))</f>
        <v>#NAME?</v>
      </c>
      <c r="CR12" s="14" t="e">
        <f aca="false">INDEX(#ref!,MATCH('HR '!$A12,#ref!,0))</f>
        <v>#NAME?</v>
      </c>
      <c r="CS12" s="17" t="e">
        <f aca="false">CI12</f>
        <v>#NAME?</v>
      </c>
      <c r="CT12" s="17" t="e">
        <f aca="false">IF(CR12&gt;99.99,"Yes","No")</f>
        <v>#NAME?</v>
      </c>
      <c r="CU12" s="14" t="str">
        <f aca="false">IF(ISNUMBER(SEARCH("Yes",CT12)),CR12,"")</f>
        <v/>
      </c>
      <c r="CV12" s="28"/>
      <c r="CW12" s="23"/>
      <c r="CX12" s="23"/>
      <c r="CY12" s="23"/>
      <c r="CZ12" s="6" t="n">
        <v>43891</v>
      </c>
      <c r="DA12" s="14" t="e">
        <f aca="false">INDEX(#ref!,MATCH('HR '!$A12,#ref!,0))</f>
        <v>#NAME?</v>
      </c>
      <c r="DB12" s="14" t="e">
        <f aca="false">INDEX(#ref!,MATCH('HR '!$A12,#ref!,0))</f>
        <v>#NAME?</v>
      </c>
      <c r="DC12" s="14" t="e">
        <f aca="false">INDEX(#ref!,MATCH('HR '!$A12,#ref!,0))</f>
        <v>#NAME?</v>
      </c>
      <c r="DD12" s="17" t="e">
        <f aca="false">CT12</f>
        <v>#NAME?</v>
      </c>
      <c r="DE12" s="17" t="e">
        <f aca="false">IF(DC12&gt;99.99,"Yes","No")</f>
        <v>#NAME?</v>
      </c>
      <c r="DF12" s="14" t="str">
        <f aca="false">IF(ISNUMBER(SEARCH("Yes",DE12)),DC12,"")</f>
        <v/>
      </c>
      <c r="DG12" s="28"/>
      <c r="DH12" s="23"/>
      <c r="DI12" s="23"/>
      <c r="DJ12" s="23"/>
      <c r="DK12" s="16" t="n">
        <v>43922</v>
      </c>
      <c r="DL12" s="14" t="e">
        <f aca="false">INDEX(#ref!,MATCH('HR '!$A12,#ref!,0))</f>
        <v>#NAME?</v>
      </c>
      <c r="DM12" s="14" t="e">
        <f aca="false">INDEX(#ref!,MATCH('HR '!$A12,#ref!,0))</f>
        <v>#NAME?</v>
      </c>
      <c r="DN12" s="14" t="e">
        <f aca="false">INDEX(#ref!,MATCH('HR '!$A12,#ref!,0))</f>
        <v>#NAME?</v>
      </c>
      <c r="DO12" s="17" t="e">
        <f aca="false">DE12</f>
        <v>#NAME?</v>
      </c>
      <c r="DP12" s="17" t="e">
        <f aca="false">IF(DN12&gt;99.99,"Yes","No")</f>
        <v>#NAME?</v>
      </c>
      <c r="DQ12" s="14" t="str">
        <f aca="false">IF(ISNUMBER(SEARCH("Yes",DP12)),DN12,"")</f>
        <v/>
      </c>
      <c r="DR12" s="23"/>
      <c r="DS12" s="23"/>
      <c r="DT12" s="23"/>
      <c r="DU12" s="23"/>
      <c r="DV12" s="6" t="n">
        <v>43952</v>
      </c>
      <c r="DW12" s="14" t="n">
        <v>55.66149299</v>
      </c>
      <c r="DX12" s="14" t="n">
        <v>461.1557</v>
      </c>
      <c r="DY12" s="14" t="n">
        <v>516.81719299</v>
      </c>
      <c r="DZ12" s="17" t="s">
        <v>15</v>
      </c>
      <c r="EA12" s="17" t="str">
        <f aca="false">IF(DY12&gt;99.99,"Yes","No")</f>
        <v>Yes</v>
      </c>
      <c r="EB12" s="14" t="n">
        <f aca="false">IF(ISNUMBER(SEARCH("Yes",EA12)),DY12,"")</f>
        <v>516.81719299</v>
      </c>
      <c r="EC12" s="23"/>
      <c r="ED12" s="26"/>
      <c r="EE12" s="26"/>
      <c r="EF12" s="26"/>
      <c r="EG12" s="16" t="n">
        <v>43983</v>
      </c>
      <c r="EH12" s="55" t="n">
        <v>55.66149299</v>
      </c>
      <c r="EI12" s="55" t="n">
        <v>461.1557</v>
      </c>
      <c r="EJ12" s="55" t="n">
        <v>516.81719299</v>
      </c>
      <c r="EK12" s="17" t="s">
        <v>15</v>
      </c>
      <c r="EL12" s="17" t="str">
        <f aca="false">IF(EJ12&gt;99.99,"Yes","No")</f>
        <v>Yes</v>
      </c>
      <c r="EM12" s="14" t="n">
        <f aca="false">IF(ISNUMBER(SEARCH("Yes",EL12)),EJ12,"")</f>
        <v>516.81719299</v>
      </c>
      <c r="EN12" s="23"/>
      <c r="EO12" s="26"/>
      <c r="EP12" s="26"/>
      <c r="EQ12" s="26"/>
      <c r="ER12" s="6" t="n">
        <v>44013</v>
      </c>
      <c r="ES12" s="14" t="e">
        <f aca="false">INDEX(#ref!,MATCH('HR '!$A12,#ref!,0))</f>
        <v>#NAME?</v>
      </c>
      <c r="ET12" s="14" t="e">
        <f aca="false">INDEX(#ref!,MATCH('HR '!$A12,#ref!,0))</f>
        <v>#NAME?</v>
      </c>
      <c r="EU12" s="14" t="e">
        <f aca="false">INDEX(#ref!,MATCH('HR '!$A12,#ref!,0))</f>
        <v>#NAME?</v>
      </c>
      <c r="EV12" s="17" t="s">
        <v>15</v>
      </c>
      <c r="EW12" s="17" t="e">
        <f aca="false">IF(EU12&gt;99.99,"Yes","No")</f>
        <v>#NAME?</v>
      </c>
      <c r="EX12" s="14" t="str">
        <f aca="false">IF(ISNUMBER(SEARCH("Yes",EW12)),EU12,"")</f>
        <v/>
      </c>
      <c r="EY12" s="23"/>
      <c r="EZ12" s="26"/>
      <c r="FA12" s="26"/>
      <c r="FB12" s="26"/>
      <c r="FC12" s="16" t="e">
        <f aca="false">FC10</f>
        <v>#NAME?</v>
      </c>
      <c r="FD12" s="14" t="e">
        <f aca="false">INDEX(#ref!,MATCH('HR '!$A12,#ref!,0))</f>
        <v>#NAME?</v>
      </c>
      <c r="FE12" s="14" t="e">
        <f aca="false">INDEX(#ref!,MATCH('HR '!$A12,#ref!,0))</f>
        <v>#NAME?</v>
      </c>
      <c r="FF12" s="14" t="e">
        <f aca="false">INDEX(#ref!,MATCH('HR '!$A12,#ref!,0))</f>
        <v>#NAME?</v>
      </c>
      <c r="FG12" s="17" t="s">
        <v>15</v>
      </c>
      <c r="FH12" s="17" t="e">
        <f aca="false">IF(FF12&gt;99.99,"Yes","No")</f>
        <v>#NAME?</v>
      </c>
      <c r="FI12" s="14" t="str">
        <f aca="false">IF(ISNUMBER(SEARCH("Yes",FH12)),FF12,"")</f>
        <v/>
      </c>
      <c r="FJ12" s="23" t="s">
        <v>36</v>
      </c>
      <c r="FK12" s="26"/>
      <c r="FL12" s="26"/>
      <c r="FM12" s="26"/>
      <c r="FN12" s="6" t="e">
        <f aca="false">FN10</f>
        <v>#NAME?</v>
      </c>
      <c r="FO12" s="14" t="n">
        <v>0</v>
      </c>
      <c r="FP12" s="14" t="n">
        <v>0</v>
      </c>
      <c r="FQ12" s="14" t="n">
        <v>116.21</v>
      </c>
      <c r="FR12" s="17" t="s">
        <v>15</v>
      </c>
      <c r="FS12" s="31" t="str">
        <f aca="false">IF(FQ12&gt;99.99,"Yes","No")</f>
        <v>Yes</v>
      </c>
      <c r="FT12" s="14" t="n">
        <f aca="false">IF(ISNUMBER(SEARCH("Yes",FS12)),FQ12,"")</f>
        <v>116.21</v>
      </c>
      <c r="FU12" s="23"/>
      <c r="FV12" s="26"/>
      <c r="FW12" s="26"/>
      <c r="FX12" s="26"/>
      <c r="FY12" s="33" t="n">
        <f aca="false">FY11</f>
        <v>44287</v>
      </c>
      <c r="FZ12" s="14" t="n">
        <v>12.76543719</v>
      </c>
      <c r="GA12" s="14" t="n">
        <v>125.8117</v>
      </c>
      <c r="GB12" s="14" t="n">
        <v>138.57713719</v>
      </c>
      <c r="GC12" s="17" t="e">
        <f aca="false">#ref!</f>
        <v>#NAME?</v>
      </c>
      <c r="GD12" s="31" t="str">
        <f aca="false">IF(GB12&gt;99.99,"Yes","No")</f>
        <v>Yes</v>
      </c>
      <c r="GE12" s="14" t="n">
        <f aca="false">IF(ISNUMBER(SEARCH("Yes",GD12)),GB12,"")</f>
        <v>138.57713719</v>
      </c>
      <c r="GF12" s="40"/>
      <c r="GG12" s="26"/>
      <c r="GH12" s="26"/>
      <c r="GI12" s="26"/>
      <c r="GJ12" s="36" t="n">
        <f aca="false">GJ11</f>
        <v>44317</v>
      </c>
      <c r="GK12" s="14" t="n">
        <f aca="false">INDEX('[1]May 2021'!$L$2:$L$29,MATCH('HR '!$A12,'[1]May 2021'!$A$2:$A$29,0))</f>
        <v>45.46947636</v>
      </c>
      <c r="GL12" s="14" t="n">
        <f aca="false">INDEX('[1]May 2021'!$M$2:$M$29,MATCH('HR '!$A12,'[1]May 2021'!$A$2:$A$29,0))</f>
        <v>376.7148</v>
      </c>
      <c r="GM12" s="14" t="n">
        <f aca="false">INDEX('[1]May 2021'!$N$2:$N$29,MATCH('HR '!$A12,'[1]May 2021'!$A$2:$A$29,0))</f>
        <v>422.18427636</v>
      </c>
      <c r="GN12" s="17" t="str">
        <f aca="false">GD12</f>
        <v>Yes</v>
      </c>
      <c r="GO12" s="31" t="str">
        <f aca="false">IF(GM12&gt;99.99,"Yes","No")</f>
        <v>Yes</v>
      </c>
      <c r="GP12" s="14" t="n">
        <f aca="false">IF(ISNUMBER(SEARCH("Yes",GO12)),GM12,"")</f>
        <v>422.18427636</v>
      </c>
      <c r="GQ12" s="40"/>
      <c r="GR12" s="26"/>
      <c r="GS12" s="26"/>
      <c r="GT12" s="26"/>
    </row>
    <row r="13" customFormat="false" ht="14.9" hidden="false" customHeight="false" outlineLevel="0" collapsed="false">
      <c r="A13" s="12" t="n">
        <v>897</v>
      </c>
      <c r="B13" s="13"/>
      <c r="C13" s="43"/>
      <c r="D13" s="44"/>
      <c r="E13" s="44"/>
      <c r="F13" s="44"/>
      <c r="G13" s="44"/>
      <c r="H13" s="45"/>
      <c r="I13" s="44"/>
      <c r="J13" s="44"/>
      <c r="K13" s="43"/>
      <c r="L13" s="44"/>
      <c r="M13" s="44"/>
      <c r="N13" s="44"/>
      <c r="O13" s="46"/>
      <c r="P13" s="46"/>
      <c r="Q13" s="44"/>
      <c r="R13" s="44"/>
      <c r="S13" s="43"/>
      <c r="T13" s="44"/>
      <c r="U13" s="44"/>
      <c r="V13" s="44"/>
      <c r="W13" s="46"/>
      <c r="X13" s="46"/>
      <c r="Y13" s="44"/>
      <c r="Z13" s="44"/>
      <c r="AA13" s="43"/>
      <c r="AB13" s="44"/>
      <c r="AC13" s="44"/>
      <c r="AD13" s="44"/>
      <c r="AE13" s="46"/>
      <c r="AF13" s="46"/>
      <c r="AG13" s="44"/>
      <c r="AH13" s="48"/>
      <c r="AI13" s="48"/>
      <c r="AJ13" s="48"/>
      <c r="AK13" s="48"/>
      <c r="AL13" s="43"/>
      <c r="AM13" s="44"/>
      <c r="AN13" s="44"/>
      <c r="AO13" s="44"/>
      <c r="AP13" s="46"/>
      <c r="AQ13" s="46"/>
      <c r="AR13" s="44"/>
      <c r="AS13" s="48"/>
      <c r="AT13" s="48"/>
      <c r="AU13" s="48"/>
      <c r="AV13" s="48"/>
      <c r="AW13" s="43"/>
      <c r="AX13" s="44"/>
      <c r="AY13" s="44"/>
      <c r="AZ13" s="44"/>
      <c r="BA13" s="46"/>
      <c r="BB13" s="46"/>
      <c r="BC13" s="44"/>
      <c r="BD13" s="48"/>
      <c r="BE13" s="48"/>
      <c r="BF13" s="48"/>
      <c r="BG13" s="48"/>
      <c r="BH13" s="43"/>
      <c r="BI13" s="44"/>
      <c r="BJ13" s="44"/>
      <c r="BK13" s="44"/>
      <c r="BL13" s="46"/>
      <c r="BM13" s="46"/>
      <c r="BN13" s="44"/>
      <c r="BO13" s="48"/>
      <c r="BP13" s="49"/>
      <c r="BQ13" s="49"/>
      <c r="BR13" s="49"/>
      <c r="BS13" s="43"/>
      <c r="BT13" s="44"/>
      <c r="BU13" s="44"/>
      <c r="BV13" s="44"/>
      <c r="BW13" s="46"/>
      <c r="BX13" s="46"/>
      <c r="BY13" s="44"/>
      <c r="BZ13" s="48"/>
      <c r="CA13" s="48"/>
      <c r="CB13" s="48"/>
      <c r="CC13" s="48"/>
      <c r="CD13" s="43"/>
      <c r="CE13" s="44"/>
      <c r="CF13" s="44"/>
      <c r="CG13" s="44"/>
      <c r="CH13" s="46"/>
      <c r="CI13" s="46"/>
      <c r="CJ13" s="44"/>
      <c r="CK13" s="48"/>
      <c r="CL13" s="49"/>
      <c r="CM13" s="49"/>
      <c r="CN13" s="49"/>
      <c r="CO13" s="43"/>
      <c r="CP13" s="44"/>
      <c r="CQ13" s="44"/>
      <c r="CR13" s="44"/>
      <c r="CS13" s="46"/>
      <c r="CT13" s="46"/>
      <c r="CU13" s="44"/>
      <c r="CV13" s="48"/>
      <c r="CW13" s="48"/>
      <c r="CX13" s="48"/>
      <c r="CY13" s="48"/>
      <c r="CZ13" s="43"/>
      <c r="DA13" s="44"/>
      <c r="DB13" s="44"/>
      <c r="DC13" s="44"/>
      <c r="DD13" s="46"/>
      <c r="DE13" s="46"/>
      <c r="DF13" s="44"/>
      <c r="DG13" s="48"/>
      <c r="DH13" s="48"/>
      <c r="DI13" s="48"/>
      <c r="DJ13" s="48"/>
      <c r="DK13" s="43"/>
      <c r="DL13" s="44"/>
      <c r="DM13" s="44"/>
      <c r="DN13" s="44"/>
      <c r="DO13" s="46"/>
      <c r="DP13" s="46"/>
      <c r="DQ13" s="44"/>
      <c r="DR13" s="48"/>
      <c r="DS13" s="48"/>
      <c r="DT13" s="48"/>
      <c r="DU13" s="48"/>
      <c r="DV13" s="43"/>
      <c r="DW13" s="44"/>
      <c r="DX13" s="44"/>
      <c r="DY13" s="44"/>
      <c r="DZ13" s="46"/>
      <c r="EA13" s="46"/>
      <c r="EB13" s="44"/>
      <c r="EC13" s="48"/>
      <c r="ED13" s="49"/>
      <c r="EE13" s="49"/>
      <c r="EF13" s="49"/>
      <c r="EG13" s="43"/>
      <c r="EH13" s="56"/>
      <c r="EI13" s="56"/>
      <c r="EJ13" s="56"/>
      <c r="EK13" s="46"/>
      <c r="EL13" s="46"/>
      <c r="EM13" s="44"/>
      <c r="EN13" s="48"/>
      <c r="EO13" s="49"/>
      <c r="EP13" s="49"/>
      <c r="EQ13" s="49"/>
      <c r="ER13" s="43"/>
      <c r="ES13" s="44"/>
      <c r="ET13" s="44"/>
      <c r="EU13" s="44"/>
      <c r="EV13" s="46"/>
      <c r="EW13" s="46"/>
      <c r="EX13" s="44"/>
      <c r="EY13" s="48"/>
      <c r="EZ13" s="49"/>
      <c r="FA13" s="49"/>
      <c r="FB13" s="49"/>
      <c r="FC13" s="43"/>
      <c r="FD13" s="44"/>
      <c r="FE13" s="44"/>
      <c r="FF13" s="44"/>
      <c r="FG13" s="46"/>
      <c r="FH13" s="46"/>
      <c r="FI13" s="44"/>
      <c r="FJ13" s="48"/>
      <c r="FK13" s="49"/>
      <c r="FL13" s="49"/>
      <c r="FM13" s="49"/>
      <c r="FN13" s="6" t="e">
        <f aca="false">FN11</f>
        <v>#NAME?</v>
      </c>
      <c r="FO13" s="49"/>
      <c r="FP13" s="49"/>
      <c r="FQ13" s="49"/>
      <c r="FR13" s="49"/>
      <c r="FS13" s="49"/>
      <c r="FT13" s="49"/>
      <c r="FU13" s="49"/>
      <c r="FV13" s="49"/>
      <c r="FW13" s="49"/>
      <c r="FX13" s="49"/>
      <c r="FY13" s="33" t="n">
        <f aca="false">FY12</f>
        <v>44287</v>
      </c>
      <c r="FZ13" s="14" t="n">
        <v>91.68100425</v>
      </c>
      <c r="GA13" s="14" t="n">
        <v>769.5775</v>
      </c>
      <c r="GB13" s="14" t="n">
        <v>861.25850425</v>
      </c>
      <c r="GC13" s="17" t="e">
        <f aca="false">#ref!</f>
        <v>#NAME?</v>
      </c>
      <c r="GD13" s="31" t="str">
        <f aca="false">IF(GB13&gt;99.99,"Yes","No")</f>
        <v>Yes</v>
      </c>
      <c r="GE13" s="42" t="s">
        <v>20</v>
      </c>
      <c r="GF13" s="42" t="s">
        <v>20</v>
      </c>
      <c r="GG13" s="26"/>
      <c r="GH13" s="26"/>
      <c r="GI13" s="26"/>
      <c r="GJ13" s="36" t="n">
        <f aca="false">GJ12</f>
        <v>44317</v>
      </c>
      <c r="GK13" s="14" t="n">
        <f aca="false">INDEX('[1]May 2021'!$L$2:$L$29,MATCH('HR '!$A13,'[1]May 2021'!$A$2:$A$29,0))</f>
        <v>0.29036799</v>
      </c>
      <c r="GL13" s="14" t="n">
        <f aca="false">INDEX('[1]May 2021'!$M$2:$M$29,MATCH('HR '!$A13,'[1]May 2021'!$A$2:$A$29,0))</f>
        <v>2.4057</v>
      </c>
      <c r="GM13" s="14" t="n">
        <f aca="false">INDEX('[1]May 2021'!$N$2:$N$29,MATCH('HR '!$A13,'[1]May 2021'!$A$2:$A$29,0))</f>
        <v>2.69606799</v>
      </c>
      <c r="GN13" s="17" t="str">
        <f aca="false">GD13</f>
        <v>Yes</v>
      </c>
      <c r="GO13" s="31" t="s">
        <v>15</v>
      </c>
      <c r="GP13" s="34" t="s">
        <v>23</v>
      </c>
      <c r="GQ13" s="34" t="s">
        <v>23</v>
      </c>
      <c r="GR13" s="35" t="e">
        <f aca="false">SUM(#ref!,FZ13,GK13)</f>
        <v>#NAME?</v>
      </c>
      <c r="GS13" s="35" t="e">
        <f aca="false">SUM(#ref!,GA13,GL13)</f>
        <v>#NAME?</v>
      </c>
      <c r="GT13" s="35" t="e">
        <f aca="false">SUM(#ref!,GB13,GM13)</f>
        <v>#NAME?</v>
      </c>
    </row>
    <row r="14" s="63" customFormat="true" ht="16.5" hidden="true" customHeight="true" outlineLevel="0" collapsed="false">
      <c r="A14" s="12" t="n">
        <v>753</v>
      </c>
      <c r="B14" s="13" t="s">
        <v>37</v>
      </c>
      <c r="C14" s="57" t="n">
        <v>43586</v>
      </c>
      <c r="D14" s="14" t="e">
        <f aca="false">INDEX(#ref!,MATCH('HR '!A14,#ref!,0))</f>
        <v>#NAME?</v>
      </c>
      <c r="E14" s="14" t="e">
        <f aca="false">INDEX(#ref!,MATCH('HR '!$A14,#ref!,0))</f>
        <v>#NAME?</v>
      </c>
      <c r="F14" s="14" t="e">
        <f aca="false">INDEX(#ref!,MATCH('HR '!$A14,#ref!,0))</f>
        <v>#NAME?</v>
      </c>
      <c r="G14" s="14" t="s">
        <v>14</v>
      </c>
      <c r="H14" s="58" t="s">
        <v>15</v>
      </c>
      <c r="I14" s="14" t="e">
        <f aca="false">IF(ISNUMBER(SEARCH("Yes",H14)),F14,"")</f>
        <v>#NAME?</v>
      </c>
      <c r="J14" s="14"/>
      <c r="K14" s="59" t="n">
        <v>43617</v>
      </c>
      <c r="L14" s="14" t="e">
        <f aca="false">INDEX(#ref!,MATCH('HR '!$A14,#ref!,0))</f>
        <v>#NAME?</v>
      </c>
      <c r="M14" s="14" t="e">
        <f aca="false">INDEX(#ref!,MATCH('HR '!$A14,#ref!,0))</f>
        <v>#NAME?</v>
      </c>
      <c r="N14" s="14" t="e">
        <f aca="false">INDEX(#ref!,MATCH('HR '!$A14,#ref!,0))</f>
        <v>#NAME?</v>
      </c>
      <c r="O14" s="31" t="str">
        <f aca="false">H14</f>
        <v>Yes</v>
      </c>
      <c r="P14" s="31" t="e">
        <f aca="false">IF(N14&gt;99.99,"Yes","No")</f>
        <v>#NAME?</v>
      </c>
      <c r="Q14" s="60"/>
      <c r="R14" s="14" t="s">
        <v>16</v>
      </c>
      <c r="S14" s="57" t="n">
        <v>43647</v>
      </c>
      <c r="T14" s="14" t="e">
        <f aca="false">INDEX(#ref!,MATCH('HR '!$A14,#ref!,0))</f>
        <v>#NAME?</v>
      </c>
      <c r="U14" s="14" t="e">
        <f aca="false">INDEX(#ref!,MATCH('HR '!$A14,#ref!,0))</f>
        <v>#NAME?</v>
      </c>
      <c r="V14" s="14" t="e">
        <f aca="false">INDEX(#ref!,MATCH('HR '!$A14,#ref!,0))</f>
        <v>#NAME?</v>
      </c>
      <c r="W14" s="31" t="e">
        <f aca="false">P14</f>
        <v>#NAME?</v>
      </c>
      <c r="X14" s="31" t="e">
        <f aca="false">IF(V14&gt;99.99,"Yes","No")</f>
        <v>#NAME?</v>
      </c>
      <c r="Y14" s="19" t="e">
        <f aca="false">SUM(N14,V14)</f>
        <v>#NAME?</v>
      </c>
      <c r="Z14" s="19" t="s">
        <v>18</v>
      </c>
      <c r="AA14" s="59" t="n">
        <v>43678</v>
      </c>
      <c r="AB14" s="14" t="e">
        <f aca="false">INDEX(#ref!,MATCH('HR '!$A14,#ref!,0))</f>
        <v>#NAME?</v>
      </c>
      <c r="AC14" s="14" t="e">
        <f aca="false">INDEX(#ref!,MATCH('HR '!$A14,#ref!,0))</f>
        <v>#NAME?</v>
      </c>
      <c r="AD14" s="14" t="e">
        <f aca="false">INDEX(#ref!,MATCH('HR '!$A14,#ref!,0))</f>
        <v>#NAME?</v>
      </c>
      <c r="AE14" s="31" t="e">
        <f aca="false">X14</f>
        <v>#NAME?</v>
      </c>
      <c r="AF14" s="31" t="e">
        <f aca="false">IF(AD14&gt;99.99,"Yes","No")</f>
        <v>#NAME?</v>
      </c>
      <c r="AG14" s="14" t="str">
        <f aca="false">IF(ISNUMBER(SEARCH("Yes",AF14)),AD14,"")</f>
        <v/>
      </c>
      <c r="AH14" s="61"/>
      <c r="AI14" s="61"/>
      <c r="AJ14" s="60"/>
      <c r="AK14" s="60"/>
      <c r="AL14" s="57" t="n">
        <v>43709</v>
      </c>
      <c r="AM14" s="14" t="e">
        <f aca="false">INDEX(#ref!,MATCH('HR '!$A14,#ref!,0))</f>
        <v>#NAME?</v>
      </c>
      <c r="AN14" s="14" t="e">
        <f aca="false">INDEX(#ref!,MATCH('HR '!$A14,#ref!,0))</f>
        <v>#NAME?</v>
      </c>
      <c r="AO14" s="14" t="e">
        <f aca="false">INDEX(#ref!,MATCH('HR '!$A14,#ref!,0))</f>
        <v>#NAME?</v>
      </c>
      <c r="AP14" s="31" t="e">
        <f aca="false">AF14</f>
        <v>#NAME?</v>
      </c>
      <c r="AQ14" s="31" t="e">
        <f aca="false">IF(AO14&gt;99.99,"Yes","No")</f>
        <v>#NAME?</v>
      </c>
      <c r="AR14" s="14" t="str">
        <f aca="false">IF(ISNUMBER(SEARCH("Yes",AQ14)),AO14,"")</f>
        <v/>
      </c>
      <c r="AS14" s="61"/>
      <c r="AT14" s="61"/>
      <c r="AU14" s="61"/>
      <c r="AV14" s="61"/>
      <c r="AW14" s="59" t="n">
        <v>43739</v>
      </c>
      <c r="AX14" s="14" t="e">
        <f aca="false">INDEX(#ref!,MATCH('HR '!$A14,#ref!,0))</f>
        <v>#NAME?</v>
      </c>
      <c r="AY14" s="14" t="e">
        <f aca="false">INDEX(#ref!,MATCH('HR '!$A14,#ref!,0))</f>
        <v>#NAME?</v>
      </c>
      <c r="AZ14" s="14" t="e">
        <f aca="false">INDEX(#ref!,MATCH('HR '!$A14,#ref!,0))</f>
        <v>#NAME?</v>
      </c>
      <c r="BA14" s="31" t="e">
        <f aca="false">AQ14</f>
        <v>#NAME?</v>
      </c>
      <c r="BB14" s="31" t="e">
        <f aca="false">IF(AZ14&gt;99.99,"Yes","No")</f>
        <v>#NAME?</v>
      </c>
      <c r="BC14" s="14" t="str">
        <f aca="false">IF(ISNUMBER(SEARCH("Yes",BB14)),AZ14,"")</f>
        <v/>
      </c>
      <c r="BD14" s="62" t="s">
        <v>14</v>
      </c>
      <c r="BE14" s="61"/>
      <c r="BF14" s="60"/>
      <c r="BG14" s="60"/>
      <c r="BH14" s="57" t="n">
        <v>43770</v>
      </c>
      <c r="BI14" s="14" t="e">
        <f aca="false">INDEX(#ref!,MATCH('HR '!$A14,#ref!,0))</f>
        <v>#NAME?</v>
      </c>
      <c r="BJ14" s="14" t="e">
        <f aca="false">INDEX(#ref!,MATCH('HR '!$A14,#ref!,0))</f>
        <v>#NAME?</v>
      </c>
      <c r="BK14" s="14" t="e">
        <f aca="false">INDEX(#ref!,MATCH('HR '!$A14,#ref!,0))</f>
        <v>#NAME?</v>
      </c>
      <c r="BL14" s="31" t="e">
        <f aca="false">BB14</f>
        <v>#NAME?</v>
      </c>
      <c r="BM14" s="31" t="e">
        <f aca="false">IF(BK14&gt;99.99,"Yes","No")</f>
        <v>#NAME?</v>
      </c>
      <c r="BN14" s="14" t="str">
        <f aca="false">IF(ISNUMBER(SEARCH("Yes",BM14)),BK14,"")</f>
        <v/>
      </c>
      <c r="BO14" s="61" t="s">
        <v>14</v>
      </c>
      <c r="BP14" s="14"/>
      <c r="BQ14" s="14"/>
      <c r="BR14" s="14"/>
      <c r="BS14" s="59" t="n">
        <v>43800</v>
      </c>
      <c r="BT14" s="14" t="e">
        <f aca="false">INDEX(#ref!,MATCH('HR '!$A14,#ref!,0))</f>
        <v>#NAME?</v>
      </c>
      <c r="BU14" s="14" t="e">
        <f aca="false">INDEX(#ref!,MATCH('HR '!$A14,#ref!,0))</f>
        <v>#NAME?</v>
      </c>
      <c r="BV14" s="14" t="e">
        <f aca="false">INDEX(#ref!,MATCH('HR '!$A14,#ref!,0))</f>
        <v>#NAME?</v>
      </c>
      <c r="BW14" s="31" t="e">
        <f aca="false">BM14</f>
        <v>#NAME?</v>
      </c>
      <c r="BX14" s="31" t="e">
        <f aca="false">IF(BV14&gt;99.99,"Yes","No")</f>
        <v>#NAME?</v>
      </c>
      <c r="BY14" s="14" t="str">
        <f aca="false">IF(ISNUMBER(SEARCH("Yes",BX14)),BV14,"")</f>
        <v/>
      </c>
      <c r="CA14" s="61"/>
      <c r="CB14" s="60"/>
      <c r="CC14" s="60"/>
      <c r="CD14" s="57" t="n">
        <v>43831</v>
      </c>
      <c r="CE14" s="14" t="e">
        <f aca="false">INDEX(#ref!,MATCH('HR '!$A14,#ref!,0))</f>
        <v>#NAME?</v>
      </c>
      <c r="CF14" s="14" t="e">
        <f aca="false">INDEX(#ref!,MATCH('HR '!$A14,#ref!,0))</f>
        <v>#NAME?</v>
      </c>
      <c r="CG14" s="14" t="e">
        <f aca="false">INDEX(#ref!,MATCH('HR '!$A14,#ref!,0))</f>
        <v>#NAME?</v>
      </c>
      <c r="CH14" s="31" t="e">
        <f aca="false">BX14</f>
        <v>#NAME?</v>
      </c>
      <c r="CI14" s="31" t="e">
        <f aca="false">IF(CG14&gt;99.99,"Yes","No")</f>
        <v>#NAME?</v>
      </c>
      <c r="CJ14" s="14" t="str">
        <f aca="false">IF(ISNUMBER(SEARCH("Yes",CI14)),CG14,"")</f>
        <v/>
      </c>
      <c r="CK14" s="61" t="s">
        <v>20</v>
      </c>
      <c r="CL14" s="14"/>
      <c r="CM14" s="14"/>
      <c r="CN14" s="14"/>
      <c r="CO14" s="59" t="n">
        <v>43862</v>
      </c>
      <c r="CP14" s="14" t="e">
        <f aca="false">INDEX(#ref!,MATCH('HR '!$A14,#ref!,0))</f>
        <v>#NAME?</v>
      </c>
      <c r="CQ14" s="14" t="e">
        <f aca="false">INDEX(#ref!,MATCH('HR '!$A14,#ref!,0))</f>
        <v>#NAME?</v>
      </c>
      <c r="CR14" s="14" t="e">
        <f aca="false">INDEX(#ref!,MATCH('HR '!$A14,#ref!,0))</f>
        <v>#NAME?</v>
      </c>
      <c r="CS14" s="31" t="e">
        <f aca="false">CI14</f>
        <v>#NAME?</v>
      </c>
      <c r="CT14" s="31" t="s">
        <v>15</v>
      </c>
      <c r="CU14" s="14" t="e">
        <f aca="false">CY14</f>
        <v>#NAME?</v>
      </c>
      <c r="CV14" s="27" t="s">
        <v>22</v>
      </c>
      <c r="CW14" s="61" t="e">
        <f aca="false">BT14+CE14+CP14</f>
        <v>#NAME?</v>
      </c>
      <c r="CX14" s="61" t="e">
        <f aca="false">BU14+CF14+CQ14</f>
        <v>#NAME?</v>
      </c>
      <c r="CY14" s="61" t="e">
        <f aca="false">BV14+CG14+CR14</f>
        <v>#NAME?</v>
      </c>
      <c r="CZ14" s="57" t="n">
        <v>43891</v>
      </c>
      <c r="DA14" s="14" t="e">
        <f aca="false">INDEX(#ref!,MATCH('HR '!$A14,#ref!,0))</f>
        <v>#NAME?</v>
      </c>
      <c r="DB14" s="14" t="e">
        <f aca="false">INDEX(#ref!,MATCH('HR '!$A14,#ref!,0))</f>
        <v>#NAME?</v>
      </c>
      <c r="DC14" s="14" t="e">
        <f aca="false">INDEX(#ref!,MATCH('HR '!$A14,#ref!,0))</f>
        <v>#NAME?</v>
      </c>
      <c r="DD14" s="31" t="str">
        <f aca="false">CT14</f>
        <v>Yes</v>
      </c>
      <c r="DE14" s="31" t="e">
        <f aca="false">IF(DC14&gt;99.99,"Yes","No")</f>
        <v>#NAME?</v>
      </c>
      <c r="DF14" s="14" t="str">
        <f aca="false">IF(ISNUMBER(SEARCH("Yes",DE14)),DC14,"")</f>
        <v/>
      </c>
      <c r="DG14" s="62" t="s">
        <v>16</v>
      </c>
      <c r="DH14" s="61"/>
      <c r="DI14" s="61"/>
      <c r="DJ14" s="61"/>
      <c r="DK14" s="59" t="n">
        <v>43922</v>
      </c>
      <c r="DL14" s="14" t="e">
        <f aca="false">INDEX(#ref!,MATCH('HR '!$A14,#ref!,0))</f>
        <v>#NAME?</v>
      </c>
      <c r="DM14" s="14" t="e">
        <f aca="false">INDEX(#ref!,MATCH('HR '!$A14,#ref!,0))</f>
        <v>#NAME?</v>
      </c>
      <c r="DN14" s="14" t="e">
        <f aca="false">INDEX(#ref!,MATCH('HR '!$A14,#ref!,0))</f>
        <v>#NAME?</v>
      </c>
      <c r="DO14" s="31" t="e">
        <f aca="false">DE14</f>
        <v>#NAME?</v>
      </c>
      <c r="DP14" s="31" t="e">
        <f aca="false">IF(DN14&gt;99.99,"Yes","No")</f>
        <v>#NAME?</v>
      </c>
      <c r="DQ14" s="14" t="str">
        <f aca="false">IF(ISNUMBER(SEARCH("Yes",DP14)),DN14,"")</f>
        <v/>
      </c>
      <c r="DR14" s="62" t="s">
        <v>20</v>
      </c>
      <c r="DS14" s="61"/>
      <c r="DT14" s="61"/>
      <c r="DU14" s="61"/>
      <c r="DV14" s="57" t="n">
        <v>43952</v>
      </c>
      <c r="DW14" s="14" t="e">
        <f aca="false">INDEX(#ref!,MATCH('HR '!$A14,#ref!,0))</f>
        <v>#NAME?</v>
      </c>
      <c r="DX14" s="14" t="e">
        <f aca="false">INDEX(#ref!,MATCH('HR '!$A14,#ref!,0))</f>
        <v>#NAME?</v>
      </c>
      <c r="DY14" s="19" t="e">
        <f aca="false">INDEX(#ref!,MATCH('HR '!$A14,#ref!,0))</f>
        <v>#NAME?</v>
      </c>
      <c r="DZ14" s="31" t="e">
        <f aca="false">DP14</f>
        <v>#NAME?</v>
      </c>
      <c r="EA14" s="31" t="s">
        <v>15</v>
      </c>
      <c r="EB14" s="14"/>
      <c r="EC14" s="64" t="s">
        <v>23</v>
      </c>
      <c r="ED14" s="14" t="e">
        <f aca="false">SUM(DA14+DL14+DW14)</f>
        <v>#NAME?</v>
      </c>
      <c r="EE14" s="14" t="e">
        <f aca="false">SUM(DB14+DM14+DX14)</f>
        <v>#NAME?</v>
      </c>
      <c r="EF14" s="14" t="e">
        <f aca="false">SUM(DC14+DN14+DY14)</f>
        <v>#NAME?</v>
      </c>
      <c r="EG14" s="59" t="n">
        <v>43983</v>
      </c>
      <c r="EH14" s="14" t="e">
        <f aca="false">INDEX(#ref!,MATCH('HR '!$A14,#ref!,0))</f>
        <v>#NAME?</v>
      </c>
      <c r="EI14" s="14" t="e">
        <f aca="false">INDEX(#ref!,MATCH('HR '!$A14,#ref!,0))</f>
        <v>#NAME?</v>
      </c>
      <c r="EJ14" s="14" t="e">
        <f aca="false">INDEX(#ref!,MATCH('HR '!$A14,#ref!,0))</f>
        <v>#NAME?</v>
      </c>
      <c r="EK14" s="31" t="str">
        <f aca="false">EA14</f>
        <v>Yes</v>
      </c>
      <c r="EL14" s="31" t="e">
        <f aca="false">IF(EJ14&gt;99.99,"Yes","No")</f>
        <v>#NAME?</v>
      </c>
      <c r="EM14" s="14" t="str">
        <f aca="false">IF(ISNUMBER(SEARCH("Yes",EL14)),EJ14,"")</f>
        <v/>
      </c>
      <c r="EN14" s="65" t="s">
        <v>16</v>
      </c>
      <c r="EO14" s="14"/>
      <c r="EP14" s="14"/>
      <c r="EQ14" s="14"/>
      <c r="ER14" s="57" t="n">
        <v>44013</v>
      </c>
      <c r="ES14" s="14" t="e">
        <f aca="false">INDEX(#ref!,MATCH('HR '!$A14,#ref!,0))</f>
        <v>#NAME?</v>
      </c>
      <c r="ET14" s="14" t="e">
        <f aca="false">INDEX(#ref!,MATCH('HR '!$A14,#ref!,0))</f>
        <v>#NAME?</v>
      </c>
      <c r="EU14" s="14" t="e">
        <f aca="false">INDEX(#ref!,MATCH('HR '!$A14,#ref!,0))</f>
        <v>#NAME?</v>
      </c>
      <c r="EV14" s="31" t="e">
        <f aca="false">EL14</f>
        <v>#NAME?</v>
      </c>
      <c r="EW14" s="31" t="e">
        <f aca="false">IF(EU14&gt;99.99,"Yes","No")</f>
        <v>#NAME?</v>
      </c>
      <c r="EX14" s="14"/>
      <c r="EY14" s="65" t="s">
        <v>20</v>
      </c>
      <c r="EZ14" s="14"/>
      <c r="FA14" s="14"/>
      <c r="FB14" s="14"/>
      <c r="FC14" s="59" t="e">
        <f aca="false">#ref!</f>
        <v>#NAME?</v>
      </c>
      <c r="FD14" s="14" t="e">
        <f aca="false">INDEX(#ref!,MATCH('HR '!$A14,#ref!,0))</f>
        <v>#NAME?</v>
      </c>
      <c r="FE14" s="14" t="e">
        <f aca="false">INDEX(#ref!,MATCH('HR '!$A14,#ref!,0))</f>
        <v>#NAME?</v>
      </c>
      <c r="FF14" s="14" t="e">
        <f aca="false">INDEX(#ref!,MATCH('HR '!$A14,#ref!,0))</f>
        <v>#NAME?</v>
      </c>
      <c r="FG14" s="31" t="e">
        <f aca="false">EW14</f>
        <v>#NAME?</v>
      </c>
      <c r="FH14" s="17" t="s">
        <v>17</v>
      </c>
      <c r="FI14" s="14" t="str">
        <f aca="false">IF(ISNUMBER(SEARCH("Yes",FH14)),FF14,"")</f>
        <v/>
      </c>
      <c r="FJ14" s="66" t="s">
        <v>38</v>
      </c>
      <c r="FK14" s="67"/>
      <c r="FL14" s="67"/>
      <c r="FM14" s="67"/>
      <c r="FN14" s="57" t="e">
        <f aca="false">#ref!</f>
        <v>#NAME?</v>
      </c>
      <c r="FO14" s="14" t="e">
        <f aca="false">INDEX(#ref!,MATCH('HR '!$A14,#ref!,0))</f>
        <v>#NAME?</v>
      </c>
      <c r="FP14" s="14" t="e">
        <f aca="false">INDEX(#ref!,MATCH('HR '!$A14,#ref!,0))</f>
        <v>#NAME?</v>
      </c>
      <c r="FQ14" s="14" t="e">
        <f aca="false">INDEX(#ref!,MATCH('HR '!$A14,#ref!,0))</f>
        <v>#NAME?</v>
      </c>
      <c r="FR14" s="68" t="str">
        <f aca="false">FH14</f>
        <v>No</v>
      </c>
      <c r="FS14" s="31" t="s">
        <v>15</v>
      </c>
      <c r="FT14" s="69" t="s">
        <v>39</v>
      </c>
      <c r="FU14" s="69" t="s">
        <v>39</v>
      </c>
      <c r="FV14" s="70" t="e">
        <f aca="false">SUM(EH14,ES14,FO14)</f>
        <v>#NAME?</v>
      </c>
      <c r="FW14" s="70" t="e">
        <f aca="false">SUM(EI14,ET14,FP14)</f>
        <v>#NAME?</v>
      </c>
      <c r="FX14" s="70" t="e">
        <f aca="false">SUM(EJ14,EU14,FQ14)</f>
        <v>#NAME?</v>
      </c>
      <c r="FY14" s="33" t="n">
        <f aca="false">FY13</f>
        <v>44287</v>
      </c>
      <c r="FZ14" s="14" t="n">
        <v>124.38504342</v>
      </c>
      <c r="GA14" s="14" t="n">
        <v>1030.5306</v>
      </c>
      <c r="GB14" s="14" t="n">
        <v>1154.91564342</v>
      </c>
      <c r="GC14" s="17" t="e">
        <f aca="false">#ref!</f>
        <v>#NAME?</v>
      </c>
      <c r="GD14" s="31" t="s">
        <v>15</v>
      </c>
      <c r="GE14" s="71" t="str">
        <f aca="false">"+ £35.70 (not paid in Apr)"</f>
        <v>+ £35.70 (not paid in Apr)</v>
      </c>
      <c r="GF14" s="71" t="str">
        <f aca="false">"+ £35.70 (not paid in Apr)"</f>
        <v>+ £35.70 (not paid in Apr)</v>
      </c>
      <c r="GG14" s="35" t="n">
        <f aca="false">FZ14</f>
        <v>124.38504342</v>
      </c>
      <c r="GH14" s="35" t="n">
        <f aca="false">GA14+35.7</f>
        <v>1066.2306</v>
      </c>
      <c r="GI14" s="35" t="n">
        <f aca="false">SUM(GG14:GH14)</f>
        <v>1190.61564342</v>
      </c>
      <c r="GJ14" s="36" t="n">
        <f aca="false">GJ13</f>
        <v>44317</v>
      </c>
      <c r="GK14" s="14" t="n">
        <f aca="false">INDEX('[1]May 2021'!$L$2:$L$29,MATCH('HR '!$A14,'[1]May 2021'!$A$2:$A$29,0))</f>
        <v>1.27977003</v>
      </c>
      <c r="GL14" s="14" t="n">
        <f aca="false">INDEX('[1]May 2021'!$M$2:$M$29,MATCH('HR '!$A14,'[1]May 2021'!$A$2:$A$29,0))</f>
        <v>10.6029</v>
      </c>
      <c r="GM14" s="14" t="n">
        <f aca="false">INDEX('[1]May 2021'!$N$2:$N$29,MATCH('HR '!$A14,'[1]May 2021'!$A$2:$A$29,0))</f>
        <v>11.88267003</v>
      </c>
      <c r="GN14" s="17" t="str">
        <f aca="false">GD14</f>
        <v>Yes</v>
      </c>
      <c r="GO14" s="31" t="str">
        <f aca="false">IF(GM14&gt;99.99,"Yes","No")</f>
        <v>No</v>
      </c>
      <c r="GP14" s="14" t="s">
        <v>16</v>
      </c>
      <c r="GQ14" s="42" t="s">
        <v>16</v>
      </c>
      <c r="GR14" s="38"/>
      <c r="GS14" s="38"/>
      <c r="GT14" s="38"/>
    </row>
    <row r="15" s="63" customFormat="true" ht="16.5" hidden="false" customHeight="true" outlineLevel="0" collapsed="false">
      <c r="A15" s="12" t="n">
        <v>900</v>
      </c>
      <c r="B15" s="13"/>
      <c r="C15" s="43"/>
      <c r="D15" s="44"/>
      <c r="E15" s="44"/>
      <c r="F15" s="44"/>
      <c r="G15" s="44"/>
      <c r="H15" s="45"/>
      <c r="I15" s="44"/>
      <c r="J15" s="44"/>
      <c r="K15" s="43"/>
      <c r="L15" s="44"/>
      <c r="M15" s="44"/>
      <c r="N15" s="44"/>
      <c r="O15" s="46"/>
      <c r="P15" s="46"/>
      <c r="Q15" s="47"/>
      <c r="R15" s="44"/>
      <c r="S15" s="43"/>
      <c r="T15" s="44"/>
      <c r="U15" s="44"/>
      <c r="V15" s="44"/>
      <c r="W15" s="46"/>
      <c r="X15" s="46"/>
      <c r="Y15" s="44"/>
      <c r="Z15" s="44"/>
      <c r="AA15" s="43"/>
      <c r="AB15" s="44"/>
      <c r="AC15" s="44"/>
      <c r="AD15" s="44"/>
      <c r="AE15" s="46"/>
      <c r="AF15" s="46"/>
      <c r="AG15" s="44"/>
      <c r="AH15" s="48"/>
      <c r="AI15" s="48"/>
      <c r="AJ15" s="48"/>
      <c r="AK15" s="48"/>
      <c r="AL15" s="43"/>
      <c r="AM15" s="44"/>
      <c r="AN15" s="44"/>
      <c r="AO15" s="44"/>
      <c r="AP15" s="46"/>
      <c r="AQ15" s="46"/>
      <c r="AR15" s="44"/>
      <c r="AS15" s="48"/>
      <c r="AT15" s="48"/>
      <c r="AU15" s="48"/>
      <c r="AV15" s="48"/>
      <c r="AW15" s="43"/>
      <c r="AX15" s="44"/>
      <c r="AY15" s="44"/>
      <c r="AZ15" s="44"/>
      <c r="BA15" s="46"/>
      <c r="BB15" s="46"/>
      <c r="BC15" s="49"/>
      <c r="BD15" s="48"/>
      <c r="BE15" s="49"/>
      <c r="BF15" s="49"/>
      <c r="BG15" s="49"/>
      <c r="BH15" s="43"/>
      <c r="BI15" s="44"/>
      <c r="BJ15" s="44"/>
      <c r="BK15" s="44"/>
      <c r="BL15" s="46"/>
      <c r="BM15" s="46"/>
      <c r="BN15" s="44"/>
      <c r="BO15" s="48"/>
      <c r="BP15" s="49"/>
      <c r="BQ15" s="49"/>
      <c r="BR15" s="49"/>
      <c r="BS15" s="43"/>
      <c r="BT15" s="44"/>
      <c r="BU15" s="44"/>
      <c r="BV15" s="44"/>
      <c r="BW15" s="46"/>
      <c r="BX15" s="46"/>
      <c r="BY15" s="44"/>
      <c r="BZ15" s="48"/>
      <c r="CA15" s="49"/>
      <c r="CB15" s="49"/>
      <c r="CC15" s="49"/>
      <c r="CD15" s="43"/>
      <c r="CE15" s="44"/>
      <c r="CF15" s="44"/>
      <c r="CG15" s="44"/>
      <c r="CH15" s="46"/>
      <c r="CI15" s="46"/>
      <c r="CJ15" s="44"/>
      <c r="CK15" s="50"/>
      <c r="CL15" s="49"/>
      <c r="CM15" s="49"/>
      <c r="CN15" s="49"/>
      <c r="CO15" s="43"/>
      <c r="CP15" s="44"/>
      <c r="CQ15" s="44"/>
      <c r="CR15" s="44"/>
      <c r="CS15" s="46"/>
      <c r="CT15" s="46"/>
      <c r="CU15" s="44"/>
      <c r="CV15" s="48"/>
      <c r="CW15" s="49"/>
      <c r="CX15" s="49"/>
      <c r="CY15" s="49"/>
      <c r="CZ15" s="43"/>
      <c r="DA15" s="44"/>
      <c r="DB15" s="44"/>
      <c r="DC15" s="44"/>
      <c r="DD15" s="46"/>
      <c r="DE15" s="46"/>
      <c r="DF15" s="44"/>
      <c r="DG15" s="48"/>
      <c r="DH15" s="49"/>
      <c r="DI15" s="49"/>
      <c r="DJ15" s="49"/>
      <c r="DK15" s="43"/>
      <c r="DL15" s="44"/>
      <c r="DM15" s="44"/>
      <c r="DN15" s="44"/>
      <c r="DO15" s="46"/>
      <c r="DP15" s="46"/>
      <c r="DQ15" s="44"/>
      <c r="DR15" s="48"/>
      <c r="DS15" s="49"/>
      <c r="DT15" s="49"/>
      <c r="DU15" s="49"/>
      <c r="DV15" s="43"/>
      <c r="DW15" s="44"/>
      <c r="DX15" s="44"/>
      <c r="DY15" s="44"/>
      <c r="DZ15" s="46"/>
      <c r="EA15" s="46"/>
      <c r="EB15" s="44"/>
      <c r="EC15" s="48"/>
      <c r="ED15" s="49"/>
      <c r="EE15" s="49"/>
      <c r="EF15" s="49"/>
      <c r="EG15" s="43"/>
      <c r="EH15" s="44"/>
      <c r="EI15" s="44"/>
      <c r="EJ15" s="44"/>
      <c r="EK15" s="46"/>
      <c r="EL15" s="46"/>
      <c r="EM15" s="44"/>
      <c r="EN15" s="48"/>
      <c r="EO15" s="49"/>
      <c r="EP15" s="49"/>
      <c r="EQ15" s="49"/>
      <c r="ER15" s="43"/>
      <c r="ES15" s="44"/>
      <c r="ET15" s="44"/>
      <c r="EU15" s="44"/>
      <c r="EV15" s="46"/>
      <c r="EW15" s="46"/>
      <c r="EX15" s="48"/>
      <c r="EY15" s="48"/>
      <c r="EZ15" s="49"/>
      <c r="FA15" s="49"/>
      <c r="FB15" s="49"/>
      <c r="FC15" s="43"/>
      <c r="FD15" s="44"/>
      <c r="FE15" s="44"/>
      <c r="FF15" s="44"/>
      <c r="FG15" s="46"/>
      <c r="FH15" s="46"/>
      <c r="FI15" s="44"/>
      <c r="FJ15" s="48"/>
      <c r="FK15" s="49"/>
      <c r="FL15" s="49"/>
      <c r="FM15" s="49"/>
      <c r="FN15" s="43"/>
      <c r="FO15" s="44"/>
      <c r="FP15" s="44"/>
      <c r="FQ15" s="44"/>
      <c r="FR15" s="46"/>
      <c r="FS15" s="51"/>
      <c r="FT15" s="44"/>
      <c r="FU15" s="48"/>
      <c r="FV15" s="49"/>
      <c r="FW15" s="49"/>
      <c r="FX15" s="49"/>
      <c r="FY15" s="52"/>
      <c r="FZ15" s="14" t="n">
        <v>76.38829011</v>
      </c>
      <c r="GA15" s="14" t="n">
        <v>632.8773</v>
      </c>
      <c r="GB15" s="14" t="n">
        <v>709.26559011</v>
      </c>
      <c r="GC15" s="46"/>
      <c r="GD15" s="51"/>
      <c r="GE15" s="53"/>
      <c r="GF15" s="53"/>
      <c r="GG15" s="49"/>
      <c r="GH15" s="49"/>
      <c r="GI15" s="49"/>
      <c r="GJ15" s="36" t="n">
        <f aca="false">GJ14</f>
        <v>44317</v>
      </c>
      <c r="GK15" s="14" t="n">
        <f aca="false">INDEX('[1]May 2021'!$L$2:$L$29,MATCH('HR '!$A15,'[1]May 2021'!$A$2:$A$29,0))</f>
        <v>12.76543719</v>
      </c>
      <c r="GL15" s="14" t="n">
        <f aca="false">INDEX('[1]May 2021'!$M$2:$M$29,MATCH('HR '!$A15,'[1]May 2021'!$A$2:$A$29,0))</f>
        <v>125.8117</v>
      </c>
      <c r="GM15" s="14" t="n">
        <f aca="false">INDEX('[1]May 2021'!$N$2:$N$29,MATCH('HR '!$A15,'[1]May 2021'!$A$2:$A$29,0))</f>
        <v>138.57713719</v>
      </c>
      <c r="GN15" s="17" t="s">
        <v>17</v>
      </c>
      <c r="GO15" s="31" t="str">
        <f aca="false">IF(GM15&gt;99.99,"Yes","No")</f>
        <v>Yes</v>
      </c>
      <c r="GP15" s="14" t="n">
        <f aca="false">IF(ISNUMBER(SEARCH("Yes",GO15)),GM15,"")</f>
        <v>138.57713719</v>
      </c>
      <c r="GQ15" s="72"/>
      <c r="GR15" s="38"/>
      <c r="GS15" s="38"/>
      <c r="GT15" s="38"/>
    </row>
    <row r="16" customFormat="false" ht="14.9" hidden="true" customHeight="false" outlineLevel="0" collapsed="false">
      <c r="A16" s="12" t="n">
        <v>717</v>
      </c>
      <c r="B16" s="13" t="s">
        <v>40</v>
      </c>
      <c r="C16" s="6" t="n">
        <v>43586</v>
      </c>
      <c r="D16" s="14" t="e">
        <f aca="false">INDEX(#ref!,MATCH('HR '!A16,#ref!,0))</f>
        <v>#NAME?</v>
      </c>
      <c r="E16" s="14" t="e">
        <f aca="false">INDEX(#ref!,MATCH('HR '!$A16,#ref!,0))</f>
        <v>#NAME?</v>
      </c>
      <c r="F16" s="14" t="e">
        <f aca="false">INDEX(#ref!,MATCH('HR '!$A16,#ref!,0))</f>
        <v>#NAME?</v>
      </c>
      <c r="G16" s="14" t="s">
        <v>14</v>
      </c>
      <c r="H16" s="15" t="s">
        <v>15</v>
      </c>
      <c r="I16" s="14" t="e">
        <f aca="false">IF(ISNUMBER(SEARCH("Yes",H16)),F16,"")</f>
        <v>#NAME?</v>
      </c>
      <c r="J16" s="14"/>
      <c r="K16" s="16" t="n">
        <v>43617</v>
      </c>
      <c r="L16" s="14" t="e">
        <f aca="false">INDEX(#ref!,MATCH('HR '!$A16,#ref!,0))</f>
        <v>#NAME?</v>
      </c>
      <c r="M16" s="14" t="e">
        <f aca="false">INDEX(#ref!,MATCH('HR '!$A16,#ref!,0))</f>
        <v>#NAME?</v>
      </c>
      <c r="N16" s="14" t="e">
        <f aca="false">INDEX(#ref!,MATCH('HR '!$A16,#ref!,0))</f>
        <v>#NAME?</v>
      </c>
      <c r="O16" s="17" t="str">
        <f aca="false">H16</f>
        <v>Yes</v>
      </c>
      <c r="P16" s="17" t="e">
        <f aca="false">IF(N16&gt;99.99,"Yes","No")</f>
        <v>#NAME?</v>
      </c>
      <c r="Q16" s="14" t="str">
        <f aca="false">IF(ISNUMBER(SEARCH("Yes",P16)),N16,"")</f>
        <v/>
      </c>
      <c r="R16" s="14"/>
      <c r="S16" s="6" t="n">
        <v>43647</v>
      </c>
      <c r="T16" s="14" t="e">
        <f aca="false">INDEX(#ref!,MATCH('HR '!$A16,#ref!,0))</f>
        <v>#NAME?</v>
      </c>
      <c r="U16" s="14" t="e">
        <f aca="false">INDEX(#ref!,MATCH('HR '!$A16,#ref!,0))</f>
        <v>#NAME?</v>
      </c>
      <c r="V16" s="14" t="e">
        <f aca="false">INDEX(#ref!,MATCH('HR '!$A16,#ref!,0))</f>
        <v>#NAME?</v>
      </c>
      <c r="W16" s="17" t="e">
        <f aca="false">P16</f>
        <v>#NAME?</v>
      </c>
      <c r="X16" s="17" t="e">
        <f aca="false">IF(V16&gt;99.99,"Yes","No")</f>
        <v>#NAME?</v>
      </c>
      <c r="Y16" s="14" t="str">
        <f aca="false">IF(ISNUMBER(SEARCH("Yes",X16)),V16,"")</f>
        <v/>
      </c>
      <c r="Z16" s="14"/>
      <c r="AA16" s="16" t="n">
        <v>43678</v>
      </c>
      <c r="AB16" s="14" t="e">
        <f aca="false">INDEX(#ref!,MATCH('HR '!$A16,#ref!,0))</f>
        <v>#NAME?</v>
      </c>
      <c r="AC16" s="14" t="e">
        <f aca="false">INDEX(#ref!,MATCH('HR '!$A16,#ref!,0))</f>
        <v>#NAME?</v>
      </c>
      <c r="AD16" s="14" t="e">
        <f aca="false">INDEX(#ref!,MATCH('HR '!$A16,#ref!,0))</f>
        <v>#NAME?</v>
      </c>
      <c r="AE16" s="17" t="e">
        <f aca="false">X16</f>
        <v>#NAME?</v>
      </c>
      <c r="AF16" s="17" t="e">
        <f aca="false">IF(AD16&gt;99.99,"Yes","No")</f>
        <v>#NAME?</v>
      </c>
      <c r="AG16" s="14" t="str">
        <f aca="false">IF(ISNUMBER(SEARCH("Yes",AF16)),AD16,"")</f>
        <v/>
      </c>
      <c r="AH16" s="23"/>
      <c r="AI16" s="23"/>
      <c r="AJ16" s="18"/>
      <c r="AK16" s="18"/>
      <c r="AL16" s="6" t="n">
        <v>43709</v>
      </c>
      <c r="AM16" s="14" t="e">
        <f aca="false">INDEX(#ref!,MATCH('HR '!$A16,#ref!,0))</f>
        <v>#NAME?</v>
      </c>
      <c r="AN16" s="14" t="e">
        <f aca="false">INDEX(#ref!,MATCH('HR '!$A16,#ref!,0))</f>
        <v>#NAME?</v>
      </c>
      <c r="AO16" s="14" t="e">
        <f aca="false">INDEX(#ref!,MATCH('HR '!$A16,#ref!,0))</f>
        <v>#NAME?</v>
      </c>
      <c r="AP16" s="17" t="e">
        <f aca="false">AF16</f>
        <v>#NAME?</v>
      </c>
      <c r="AQ16" s="17" t="e">
        <f aca="false">IF(AO16&gt;99.99,"Yes","No")</f>
        <v>#NAME?</v>
      </c>
      <c r="AR16" s="14" t="str">
        <f aca="false">IF(ISNUMBER(SEARCH("Yes",AQ16)),AO16,"")</f>
        <v/>
      </c>
      <c r="AS16" s="23"/>
      <c r="AT16" s="23"/>
      <c r="AU16" s="23"/>
      <c r="AV16" s="23"/>
      <c r="AW16" s="16" t="n">
        <v>43739</v>
      </c>
      <c r="AX16" s="14" t="e">
        <f aca="false">INDEX(#ref!,MATCH('HR '!$A16,#ref!,0))</f>
        <v>#NAME?</v>
      </c>
      <c r="AY16" s="14" t="e">
        <f aca="false">INDEX(#ref!,MATCH('HR '!$A16,#ref!,0))</f>
        <v>#NAME?</v>
      </c>
      <c r="AZ16" s="14" t="e">
        <f aca="false">INDEX(#ref!,MATCH('HR '!$A16,#ref!,0))</f>
        <v>#NAME?</v>
      </c>
      <c r="BA16" s="17" t="e">
        <f aca="false">AQ16</f>
        <v>#NAME?</v>
      </c>
      <c r="BB16" s="17" t="e">
        <f aca="false">IF(AZ16&gt;99.99,"Yes","No")</f>
        <v>#NAME?</v>
      </c>
      <c r="BC16" s="14" t="str">
        <f aca="false">IF(ISNUMBER(SEARCH("Yes",BB16)),AZ16,"")</f>
        <v/>
      </c>
      <c r="BD16" s="28" t="s">
        <v>14</v>
      </c>
      <c r="BE16" s="23"/>
      <c r="BF16" s="18"/>
      <c r="BG16" s="18"/>
      <c r="BH16" s="6" t="n">
        <v>43770</v>
      </c>
      <c r="BI16" s="14" t="e">
        <f aca="false">INDEX(#ref!,MATCH('HR '!$A16,#ref!,0))</f>
        <v>#NAME?</v>
      </c>
      <c r="BJ16" s="14" t="e">
        <f aca="false">INDEX(#ref!,MATCH('HR '!$A16,#ref!,0))</f>
        <v>#NAME?</v>
      </c>
      <c r="BK16" s="14" t="e">
        <f aca="false">INDEX(#ref!,MATCH('HR '!$A16,#ref!,0))</f>
        <v>#NAME?</v>
      </c>
      <c r="BL16" s="17" t="e">
        <f aca="false">BB16</f>
        <v>#NAME?</v>
      </c>
      <c r="BM16" s="17" t="e">
        <f aca="false">IF(BK16&gt;99.99,"Yes","No")</f>
        <v>#NAME?</v>
      </c>
      <c r="BN16" s="14" t="str">
        <f aca="false">IF(ISNUMBER(SEARCH("Yes",BM16)),BK16,"")</f>
        <v/>
      </c>
      <c r="BO16" s="23" t="s">
        <v>14</v>
      </c>
      <c r="BP16" s="26"/>
      <c r="BQ16" s="26"/>
      <c r="BR16" s="26"/>
      <c r="BS16" s="16" t="n">
        <v>43800</v>
      </c>
      <c r="BT16" s="14" t="e">
        <f aca="false">INDEX(#ref!,MATCH('HR '!$A16,#ref!,0))</f>
        <v>#NAME?</v>
      </c>
      <c r="BU16" s="14" t="e">
        <f aca="false">INDEX(#ref!,MATCH('HR '!$A16,#ref!,0))</f>
        <v>#NAME?</v>
      </c>
      <c r="BV16" s="14" t="e">
        <f aca="false">INDEX(#ref!,MATCH('HR '!$A16,#ref!,0))</f>
        <v>#NAME?</v>
      </c>
      <c r="BW16" s="17" t="e">
        <f aca="false">BM16</f>
        <v>#NAME?</v>
      </c>
      <c r="BX16" s="17" t="e">
        <f aca="false">IF(BV16&gt;99.99,"Yes","No")</f>
        <v>#NAME?</v>
      </c>
      <c r="BY16" s="14" t="str">
        <f aca="false">IF(ISNUMBER(SEARCH("Yes",BX16)),BV16,"")</f>
        <v/>
      </c>
      <c r="BZ16" s="28" t="s">
        <v>16</v>
      </c>
      <c r="CA16" s="23"/>
      <c r="CB16" s="18"/>
      <c r="CC16" s="18"/>
      <c r="CD16" s="6" t="n">
        <v>43831</v>
      </c>
      <c r="CE16" s="14" t="e">
        <f aca="false">INDEX(#ref!,MATCH('HR '!$A16,#ref!,0))</f>
        <v>#NAME?</v>
      </c>
      <c r="CF16" s="14" t="e">
        <f aca="false">INDEX(#ref!,MATCH('HR '!$A16,#ref!,0))</f>
        <v>#NAME?</v>
      </c>
      <c r="CG16" s="14" t="e">
        <f aca="false">INDEX(#ref!,MATCH('HR '!$A16,#ref!,0))</f>
        <v>#NAME?</v>
      </c>
      <c r="CH16" s="17" t="e">
        <f aca="false">BX16</f>
        <v>#NAME?</v>
      </c>
      <c r="CI16" s="17" t="e">
        <f aca="false">IF(CG16&gt;99.99,"Yes","No")</f>
        <v>#NAME?</v>
      </c>
      <c r="CJ16" s="14" t="str">
        <f aca="false">IF(ISNUMBER(SEARCH("Yes",CI16)),CG16,"")</f>
        <v/>
      </c>
      <c r="CK16" s="23"/>
      <c r="CL16" s="26"/>
      <c r="CM16" s="26"/>
      <c r="CN16" s="26"/>
      <c r="CO16" s="16" t="n">
        <v>43862</v>
      </c>
      <c r="CP16" s="14" t="e">
        <f aca="false">INDEX(#ref!,MATCH('HR '!$A16,#ref!,0))</f>
        <v>#NAME?</v>
      </c>
      <c r="CQ16" s="14" t="e">
        <f aca="false">INDEX(#ref!,MATCH('HR '!$A16,#ref!,0))</f>
        <v>#NAME?</v>
      </c>
      <c r="CR16" s="14" t="e">
        <f aca="false">INDEX(#ref!,MATCH('HR '!$A16,#ref!,0))</f>
        <v>#NAME?</v>
      </c>
      <c r="CS16" s="17" t="e">
        <f aca="false">CI16</f>
        <v>#NAME?</v>
      </c>
      <c r="CT16" s="17" t="e">
        <f aca="false">IF(CR16&gt;99.99,"Yes","No")</f>
        <v>#NAME?</v>
      </c>
      <c r="CU16" s="14" t="str">
        <f aca="false">IF(ISNUMBER(SEARCH("Yes",CT16)),CR16,"")</f>
        <v/>
      </c>
      <c r="CV16" s="28" t="s">
        <v>16</v>
      </c>
      <c r="CW16" s="23"/>
      <c r="CX16" s="18"/>
      <c r="CY16" s="18"/>
      <c r="CZ16" s="6" t="n">
        <v>43891</v>
      </c>
      <c r="DA16" s="14" t="e">
        <f aca="false">INDEX(#ref!,MATCH('HR '!$A16,#ref!,0))</f>
        <v>#NAME?</v>
      </c>
      <c r="DB16" s="14" t="e">
        <f aca="false">INDEX(#ref!,MATCH('HR '!$A16,#ref!,0))</f>
        <v>#NAME?</v>
      </c>
      <c r="DC16" s="14" t="e">
        <f aca="false">INDEX(#ref!,MATCH('HR '!$A16,#ref!,0))</f>
        <v>#NAME?</v>
      </c>
      <c r="DD16" s="17" t="e">
        <f aca="false">CT16</f>
        <v>#NAME?</v>
      </c>
      <c r="DE16" s="17" t="e">
        <f aca="false">IF(DC16&gt;99.99,"Yes","No")</f>
        <v>#NAME?</v>
      </c>
      <c r="DF16" s="14" t="str">
        <f aca="false">IF(ISNUMBER(SEARCH("Yes",DE16)),DC16,"")</f>
        <v/>
      </c>
      <c r="DG16" s="28" t="s">
        <v>20</v>
      </c>
      <c r="DH16" s="23"/>
      <c r="DI16" s="18"/>
      <c r="DJ16" s="18"/>
      <c r="DK16" s="16" t="n">
        <v>43922</v>
      </c>
      <c r="DL16" s="14" t="e">
        <f aca="false">INDEX(#ref!,MATCH('HR '!$A16,#ref!,0))</f>
        <v>#NAME?</v>
      </c>
      <c r="DM16" s="14" t="e">
        <f aca="false">INDEX(#ref!,MATCH('HR '!$A16,#ref!,0))</f>
        <v>#NAME?</v>
      </c>
      <c r="DN16" s="14" t="e">
        <f aca="false">INDEX(#ref!,MATCH('HR '!$A16,#ref!,0))</f>
        <v>#NAME?</v>
      </c>
      <c r="DO16" s="17" t="e">
        <f aca="false">DE16</f>
        <v>#NAME?</v>
      </c>
      <c r="DP16" s="17" t="s">
        <v>15</v>
      </c>
      <c r="DQ16" s="14" t="e">
        <f aca="false">IF(ISNUMBER(SEARCH("Yes",DP16)),DN16,"")</f>
        <v>#NAME?</v>
      </c>
      <c r="DR16" s="29" t="s">
        <v>23</v>
      </c>
      <c r="DS16" s="26" t="e">
        <f aca="false">SUM(CP16+DA16+DL16)</f>
        <v>#NAME?</v>
      </c>
      <c r="DT16" s="26" t="e">
        <f aca="false">SUM(CQ16+DB16+DM16)</f>
        <v>#NAME?</v>
      </c>
      <c r="DU16" s="26" t="e">
        <f aca="false">SUM(CR16+DC16+DN16)</f>
        <v>#NAME?</v>
      </c>
      <c r="DV16" s="6" t="n">
        <v>43952</v>
      </c>
      <c r="DW16" s="14" t="e">
        <f aca="false">INDEX(#ref!,MATCH('HR '!$A16,#ref!,0))</f>
        <v>#NAME?</v>
      </c>
      <c r="DX16" s="14" t="e">
        <f aca="false">INDEX(#ref!,MATCH('HR '!$A16,#ref!,0))</f>
        <v>#NAME?</v>
      </c>
      <c r="DY16" s="14" t="e">
        <f aca="false">INDEX(#ref!,MATCH('HR '!$A16,#ref!,0))</f>
        <v>#NAME?</v>
      </c>
      <c r="DZ16" s="17" t="str">
        <f aca="false">DP16</f>
        <v>Yes</v>
      </c>
      <c r="EA16" s="17" t="e">
        <f aca="false">IF(DY16&gt;99.99,"Yes","No")</f>
        <v>#NAME?</v>
      </c>
      <c r="EB16" s="14" t="str">
        <f aca="false">IF(ISNUMBER(SEARCH("Yes",EA16)),DY16,"")</f>
        <v/>
      </c>
      <c r="EC16" s="23"/>
      <c r="ED16" s="26"/>
      <c r="EE16" s="26"/>
      <c r="EF16" s="26"/>
      <c r="EG16" s="16" t="n">
        <v>43983</v>
      </c>
      <c r="EH16" s="14" t="e">
        <f aca="false">INDEX(#ref!,MATCH('HR '!$A16,#ref!,0))</f>
        <v>#NAME?</v>
      </c>
      <c r="EI16" s="14" t="e">
        <f aca="false">INDEX(#ref!,MATCH('HR '!$A16,#ref!,0))</f>
        <v>#NAME?</v>
      </c>
      <c r="EJ16" s="14" t="e">
        <f aca="false">INDEX(#ref!,MATCH('HR '!$A16,#ref!,0))</f>
        <v>#NAME?</v>
      </c>
      <c r="EK16" s="17" t="e">
        <f aca="false">EA16</f>
        <v>#NAME?</v>
      </c>
      <c r="EL16" s="17" t="e">
        <f aca="false">IF(EJ16&gt;99.99,"Yes","No")</f>
        <v>#NAME?</v>
      </c>
      <c r="EM16" s="14" t="str">
        <f aca="false">IF(ISNUMBER(SEARCH("Yes",EL16)),EJ16,"")</f>
        <v/>
      </c>
      <c r="EN16" s="23"/>
      <c r="EO16" s="26"/>
      <c r="EP16" s="26"/>
      <c r="EQ16" s="26"/>
      <c r="ER16" s="6" t="n">
        <v>44013</v>
      </c>
      <c r="ES16" s="14" t="e">
        <f aca="false">INDEX(#ref!,MATCH('HR '!$A16,#ref!,0))</f>
        <v>#NAME?</v>
      </c>
      <c r="ET16" s="14" t="e">
        <f aca="false">INDEX(#ref!,MATCH('HR '!$A16,#ref!,0))</f>
        <v>#NAME?</v>
      </c>
      <c r="EU16" s="14" t="e">
        <f aca="false">INDEX(#ref!,MATCH('HR '!$A16,#ref!,0))</f>
        <v>#NAME?</v>
      </c>
      <c r="EV16" s="17" t="e">
        <f aca="false">EL16</f>
        <v>#NAME?</v>
      </c>
      <c r="EW16" s="17" t="e">
        <f aca="false">IF(EU16&gt;99.99,"Yes","No")</f>
        <v>#NAME?</v>
      </c>
      <c r="EX16" s="14" t="str">
        <f aca="false">IF(ISNUMBER(SEARCH("Yes",EW16)),EU16,"")</f>
        <v/>
      </c>
      <c r="EY16" s="23"/>
      <c r="EZ16" s="26"/>
      <c r="FA16" s="26"/>
      <c r="FB16" s="26"/>
      <c r="FC16" s="16" t="e">
        <f aca="false">#ref!</f>
        <v>#NAME?</v>
      </c>
      <c r="FD16" s="14" t="e">
        <f aca="false">INDEX(#ref!,MATCH('HR '!$A16,#ref!,0))</f>
        <v>#NAME?</v>
      </c>
      <c r="FE16" s="14" t="e">
        <f aca="false">INDEX(#ref!,MATCH('HR '!$A16,#ref!,0))</f>
        <v>#NAME?</v>
      </c>
      <c r="FF16" s="14" t="e">
        <f aca="false">INDEX(#ref!,MATCH('HR '!$A16,#ref!,0))</f>
        <v>#NAME?</v>
      </c>
      <c r="FG16" s="17" t="e">
        <f aca="false">EW16</f>
        <v>#NAME?</v>
      </c>
      <c r="FH16" s="17" t="e">
        <f aca="false">IF(FF16&gt;99.99,"Yes","No")</f>
        <v>#NAME?</v>
      </c>
      <c r="FI16" s="14" t="str">
        <f aca="false">IF(ISNUMBER(SEARCH("Yes",FH16)),FF16,"")</f>
        <v/>
      </c>
      <c r="FJ16" s="30" t="s">
        <v>16</v>
      </c>
      <c r="FK16" s="26"/>
      <c r="FL16" s="26"/>
      <c r="FM16" s="26"/>
      <c r="FN16" s="6" t="e">
        <f aca="false">#ref!</f>
        <v>#NAME?</v>
      </c>
      <c r="FO16" s="14" t="e">
        <f aca="false">INDEX(#ref!,MATCH('HR '!$A16,#ref!,0))</f>
        <v>#NAME?</v>
      </c>
      <c r="FP16" s="14" t="e">
        <f aca="false">INDEX(#ref!,MATCH('HR '!$A16,#ref!,0))</f>
        <v>#NAME?</v>
      </c>
      <c r="FQ16" s="14" t="e">
        <f aca="false">INDEX(#ref!,MATCH('HR '!$A16,#ref!,0))</f>
        <v>#NAME?</v>
      </c>
      <c r="FR16" s="17" t="e">
        <f aca="false">FH16</f>
        <v>#NAME?</v>
      </c>
      <c r="FS16" s="31" t="e">
        <f aca="false">IF(FQ16&gt;99.99,"Yes","No")</f>
        <v>#NAME?</v>
      </c>
      <c r="FT16" s="14" t="str">
        <f aca="false">IF(ISNUMBER(SEARCH("Yes",FS16)),FQ16,"")</f>
        <v/>
      </c>
      <c r="FU16" s="30" t="s">
        <v>31</v>
      </c>
      <c r="FV16" s="26"/>
      <c r="FW16" s="26"/>
      <c r="FX16" s="26"/>
      <c r="FY16" s="33" t="n">
        <f aca="false">FY14</f>
        <v>44287</v>
      </c>
      <c r="FZ16" s="14" t="e">
        <f aca="false">INDEX(#ref!,MATCH('HR '!$A16,#ref!,0))</f>
        <v>#NAME?</v>
      </c>
      <c r="GA16" s="14" t="e">
        <f aca="false">INDEX(#ref!,MATCH('HR '!$A16,#ref!,0))</f>
        <v>#NAME?</v>
      </c>
      <c r="GB16" s="14" t="e">
        <f aca="false">INDEX(#ref!,MATCH('HR '!$A16,#ref!,0))</f>
        <v>#NAME?</v>
      </c>
      <c r="GC16" s="17" t="e">
        <f aca="false">#ref!</f>
        <v>#NAME?</v>
      </c>
      <c r="GD16" s="31" t="e">
        <f aca="false">IF(GB16&gt;99.99,"Yes","No")</f>
        <v>#NAME?</v>
      </c>
      <c r="GE16" s="34" t="s">
        <v>20</v>
      </c>
      <c r="GF16" s="34" t="s">
        <v>24</v>
      </c>
      <c r="GG16" s="35" t="e">
        <f aca="false">SUM(#ref!,FZ16)</f>
        <v>#NAME?</v>
      </c>
      <c r="GH16" s="35" t="e">
        <f aca="false">SUM(#ref!,GA16)</f>
        <v>#NAME?</v>
      </c>
      <c r="GI16" s="35" t="e">
        <f aca="false">SUM(#ref!,GB16)</f>
        <v>#NAME?</v>
      </c>
      <c r="GJ16" s="36" t="n">
        <f aca="false">GJ15</f>
        <v>44317</v>
      </c>
      <c r="GK16" s="14" t="n">
        <f aca="false">INDEX('[1]May 2021'!$L$2:$L$29,MATCH('HR '!$A16,'[1]May 2021'!$A$2:$A$29,0))</f>
        <v>6.81827058</v>
      </c>
      <c r="GL16" s="14" t="n">
        <f aca="false">INDEX('[1]May 2021'!$M$2:$M$29,MATCH('HR '!$A16,'[1]May 2021'!$A$2:$A$29,0))</f>
        <v>56.4894</v>
      </c>
      <c r="GM16" s="14" t="n">
        <f aca="false">INDEX('[1]May 2021'!$N$2:$N$29,MATCH('HR '!$A16,'[1]May 2021'!$A$2:$A$29,0))</f>
        <v>63.30767058</v>
      </c>
      <c r="GN16" s="17" t="e">
        <f aca="false">GD16</f>
        <v>#NAME?</v>
      </c>
      <c r="GO16" s="31" t="str">
        <f aca="false">IF(GM16&gt;99.99,"Yes","No")</f>
        <v>No</v>
      </c>
      <c r="GP16" s="14" t="s">
        <v>16</v>
      </c>
      <c r="GQ16" s="42" t="s">
        <v>16</v>
      </c>
      <c r="GR16" s="38"/>
      <c r="GS16" s="38"/>
      <c r="GT16" s="38"/>
    </row>
    <row r="17" customFormat="false" ht="14.9" hidden="false" customHeight="false" outlineLevel="0" collapsed="false">
      <c r="A17" s="12" t="n">
        <v>780</v>
      </c>
      <c r="B17" s="13"/>
      <c r="C17" s="6" t="n">
        <v>43586</v>
      </c>
      <c r="D17" s="14" t="e">
        <f aca="false">INDEX(#ref!,MATCH('HR '!A17,#ref!,0))</f>
        <v>#NAME?</v>
      </c>
      <c r="E17" s="14" t="e">
        <f aca="false">INDEX(#ref!,MATCH('HR '!$A17,#ref!,0))</f>
        <v>#NAME?</v>
      </c>
      <c r="F17" s="14" t="e">
        <f aca="false">INDEX(#ref!,MATCH('HR '!$A17,#ref!,0))</f>
        <v>#NAME?</v>
      </c>
      <c r="G17" s="14" t="s">
        <v>14</v>
      </c>
      <c r="H17" s="15" t="s">
        <v>15</v>
      </c>
      <c r="I17" s="14" t="e">
        <f aca="false">IF(ISNUMBER(SEARCH("Yes",H17)),F17,"")</f>
        <v>#NAME?</v>
      </c>
      <c r="J17" s="14"/>
      <c r="K17" s="16" t="n">
        <v>43617</v>
      </c>
      <c r="L17" s="14" t="e">
        <f aca="false">INDEX(#ref!,MATCH('HR '!$A17,#ref!,0))</f>
        <v>#NAME?</v>
      </c>
      <c r="M17" s="14" t="e">
        <f aca="false">INDEX(#ref!,MATCH('HR '!$A17,#ref!,0))</f>
        <v>#NAME?</v>
      </c>
      <c r="N17" s="14" t="e">
        <f aca="false">INDEX(#ref!,MATCH('HR '!$A17,#ref!,0))</f>
        <v>#NAME?</v>
      </c>
      <c r="O17" s="17" t="str">
        <f aca="false">H17</f>
        <v>Yes</v>
      </c>
      <c r="P17" s="17" t="e">
        <f aca="false">IF(N17&gt;99.99,"Yes","No")</f>
        <v>#NAME?</v>
      </c>
      <c r="Q17" s="14" t="str">
        <f aca="false">IF(ISNUMBER(SEARCH("Yes",P17)),N17,"")</f>
        <v/>
      </c>
      <c r="R17" s="14"/>
      <c r="S17" s="6" t="n">
        <v>43647</v>
      </c>
      <c r="T17" s="14" t="e">
        <f aca="false">INDEX(#ref!,MATCH('HR '!$A17,#ref!,0))</f>
        <v>#NAME?</v>
      </c>
      <c r="U17" s="14" t="e">
        <f aca="false">INDEX(#ref!,MATCH('HR '!$A17,#ref!,0))</f>
        <v>#NAME?</v>
      </c>
      <c r="V17" s="14" t="e">
        <f aca="false">INDEX(#ref!,MATCH('HR '!$A17,#ref!,0))</f>
        <v>#NAME?</v>
      </c>
      <c r="W17" s="17" t="e">
        <f aca="false">P17</f>
        <v>#NAME?</v>
      </c>
      <c r="X17" s="17" t="e">
        <f aca="false">IF(V17&gt;99.99,"Yes","No")</f>
        <v>#NAME?</v>
      </c>
      <c r="Y17" s="14" t="str">
        <f aca="false">IF(ISNUMBER(SEARCH("Yes",X17)),V17,"")</f>
        <v/>
      </c>
      <c r="Z17" s="14"/>
      <c r="AA17" s="16" t="n">
        <v>43678</v>
      </c>
      <c r="AB17" s="14" t="e">
        <f aca="false">INDEX(#ref!,MATCH('HR '!$A17,#ref!,0))</f>
        <v>#NAME?</v>
      </c>
      <c r="AC17" s="14" t="e">
        <f aca="false">INDEX(#ref!,MATCH('HR '!$A17,#ref!,0))</f>
        <v>#NAME?</v>
      </c>
      <c r="AD17" s="14" t="e">
        <f aca="false">INDEX(#ref!,MATCH('HR '!$A17,#ref!,0))</f>
        <v>#NAME?</v>
      </c>
      <c r="AE17" s="17" t="e">
        <f aca="false">X17</f>
        <v>#NAME?</v>
      </c>
      <c r="AF17" s="17" t="e">
        <f aca="false">IF(AD17&gt;99.99,"Yes","No")</f>
        <v>#NAME?</v>
      </c>
      <c r="AG17" s="14" t="str">
        <f aca="false">IF(ISNUMBER(SEARCH("Yes",AF17)),AD17,"")</f>
        <v/>
      </c>
      <c r="AH17" s="23"/>
      <c r="AI17" s="23"/>
      <c r="AJ17" s="18"/>
      <c r="AK17" s="18"/>
      <c r="AL17" s="6" t="n">
        <v>43709</v>
      </c>
      <c r="AM17" s="14" t="e">
        <f aca="false">INDEX(#ref!,MATCH('HR '!$A17,#ref!,0))</f>
        <v>#NAME?</v>
      </c>
      <c r="AN17" s="14" t="e">
        <f aca="false">INDEX(#ref!,MATCH('HR '!$A17,#ref!,0))</f>
        <v>#NAME?</v>
      </c>
      <c r="AO17" s="14" t="e">
        <f aca="false">INDEX(#ref!,MATCH('HR '!$A17,#ref!,0))</f>
        <v>#NAME?</v>
      </c>
      <c r="AP17" s="17" t="e">
        <f aca="false">AF17</f>
        <v>#NAME?</v>
      </c>
      <c r="AQ17" s="17" t="e">
        <f aca="false">IF(AO17&gt;99.99,"Yes","No")</f>
        <v>#NAME?</v>
      </c>
      <c r="AR17" s="14" t="str">
        <f aca="false">IF(ISNUMBER(SEARCH("Yes",AQ17)),AO17,"")</f>
        <v/>
      </c>
      <c r="AS17" s="23"/>
      <c r="AT17" s="23"/>
      <c r="AU17" s="23"/>
      <c r="AV17" s="23"/>
      <c r="AW17" s="16" t="n">
        <v>43739</v>
      </c>
      <c r="AX17" s="14" t="e">
        <f aca="false">INDEX(#ref!,MATCH('HR '!$A17,#ref!,0))</f>
        <v>#NAME?</v>
      </c>
      <c r="AY17" s="14" t="e">
        <f aca="false">INDEX(#ref!,MATCH('HR '!$A17,#ref!,0))</f>
        <v>#NAME?</v>
      </c>
      <c r="AZ17" s="14" t="e">
        <f aca="false">INDEX(#ref!,MATCH('HR '!$A17,#ref!,0))</f>
        <v>#NAME?</v>
      </c>
      <c r="BA17" s="17" t="e">
        <f aca="false">AQ17</f>
        <v>#NAME?</v>
      </c>
      <c r="BB17" s="17" t="e">
        <f aca="false">IF(AZ17&gt;99.99,"Yes","No")</f>
        <v>#NAME?</v>
      </c>
      <c r="BC17" s="14" t="str">
        <f aca="false">IF(ISNUMBER(SEARCH("Yes",BB17)),AZ17,"")</f>
        <v/>
      </c>
      <c r="BD17" s="28" t="s">
        <v>14</v>
      </c>
      <c r="BE17" s="23"/>
      <c r="BF17" s="18"/>
      <c r="BG17" s="18"/>
      <c r="BH17" s="6" t="n">
        <v>43770</v>
      </c>
      <c r="BI17" s="14" t="e">
        <f aca="false">INDEX(#ref!,MATCH('HR '!$A17,#ref!,0))</f>
        <v>#NAME?</v>
      </c>
      <c r="BJ17" s="14" t="e">
        <f aca="false">INDEX(#ref!,MATCH('HR '!$A17,#ref!,0))</f>
        <v>#NAME?</v>
      </c>
      <c r="BK17" s="14" t="e">
        <f aca="false">INDEX(#ref!,MATCH('HR '!$A17,#ref!,0))</f>
        <v>#NAME?</v>
      </c>
      <c r="BL17" s="17" t="e">
        <f aca="false">BB17</f>
        <v>#NAME?</v>
      </c>
      <c r="BM17" s="17" t="e">
        <f aca="false">IF(BK17&gt;99.99,"Yes","No")</f>
        <v>#NAME?</v>
      </c>
      <c r="BN17" s="14" t="str">
        <f aca="false">IF(ISNUMBER(SEARCH("Yes",BM17)),BK17,"")</f>
        <v/>
      </c>
      <c r="BO17" s="23" t="s">
        <v>14</v>
      </c>
      <c r="BP17" s="26"/>
      <c r="BQ17" s="26"/>
      <c r="BR17" s="26"/>
      <c r="BS17" s="16" t="n">
        <v>43800</v>
      </c>
      <c r="BT17" s="14" t="e">
        <f aca="false">INDEX(#ref!,MATCH('HR '!$A17,#ref!,0))</f>
        <v>#NAME?</v>
      </c>
      <c r="BU17" s="14" t="e">
        <f aca="false">INDEX(#ref!,MATCH('HR '!$A17,#ref!,0))</f>
        <v>#NAME?</v>
      </c>
      <c r="BV17" s="14" t="e">
        <f aca="false">INDEX(#ref!,MATCH('HR '!$A17,#ref!,0))</f>
        <v>#NAME?</v>
      </c>
      <c r="BW17" s="17" t="e">
        <f aca="false">BM17</f>
        <v>#NAME?</v>
      </c>
      <c r="BX17" s="17" t="e">
        <f aca="false">IF(BV17&gt;99.99,"Yes","No")</f>
        <v>#NAME?</v>
      </c>
      <c r="BY17" s="14" t="str">
        <f aca="false">IF(ISNUMBER(SEARCH("Yes",BX17)),BV17,"")</f>
        <v/>
      </c>
      <c r="BZ17" s="28"/>
      <c r="CA17" s="23"/>
      <c r="CB17" s="18"/>
      <c r="CC17" s="18"/>
      <c r="CD17" s="6" t="n">
        <v>43831</v>
      </c>
      <c r="CE17" s="14" t="e">
        <f aca="false">INDEX(#ref!,MATCH('HR '!$A17,#ref!,0))</f>
        <v>#NAME?</v>
      </c>
      <c r="CF17" s="14" t="e">
        <f aca="false">INDEX(#ref!,MATCH('HR '!$A17,#ref!,0))</f>
        <v>#NAME?</v>
      </c>
      <c r="CG17" s="14" t="e">
        <f aca="false">INDEX(#ref!,MATCH('HR '!$A17,#ref!,0))</f>
        <v>#NAME?</v>
      </c>
      <c r="CH17" s="17" t="e">
        <f aca="false">BX17</f>
        <v>#NAME?</v>
      </c>
      <c r="CI17" s="17" t="e">
        <f aca="false">IF(CG17&gt;99.99,"Yes","No")</f>
        <v>#NAME?</v>
      </c>
      <c r="CJ17" s="14" t="str">
        <f aca="false">IF(ISNUMBER(SEARCH("Yes",CI17)),CG17,"")</f>
        <v/>
      </c>
      <c r="CK17" s="23"/>
      <c r="CL17" s="26"/>
      <c r="CM17" s="26"/>
      <c r="CN17" s="26"/>
      <c r="CO17" s="16" t="n">
        <v>43862</v>
      </c>
      <c r="CP17" s="14" t="e">
        <f aca="false">INDEX(#ref!,MATCH('HR '!$A17,#ref!,0))</f>
        <v>#NAME?</v>
      </c>
      <c r="CQ17" s="14" t="e">
        <f aca="false">INDEX(#ref!,MATCH('HR '!$A17,#ref!,0))</f>
        <v>#NAME?</v>
      </c>
      <c r="CR17" s="14" t="e">
        <f aca="false">INDEX(#ref!,MATCH('HR '!$A17,#ref!,0))</f>
        <v>#NAME?</v>
      </c>
      <c r="CS17" s="17" t="e">
        <f aca="false">CI17</f>
        <v>#NAME?</v>
      </c>
      <c r="CT17" s="17" t="e">
        <f aca="false">IF(CR17&gt;99.99,"Yes","No")</f>
        <v>#NAME?</v>
      </c>
      <c r="CU17" s="14" t="str">
        <f aca="false">IF(ISNUMBER(SEARCH("Yes",CT17)),CR17,"")</f>
        <v/>
      </c>
      <c r="CV17" s="28"/>
      <c r="CW17" s="23"/>
      <c r="CX17" s="18"/>
      <c r="CY17" s="18"/>
      <c r="CZ17" s="6" t="n">
        <v>43891</v>
      </c>
      <c r="DA17" s="14" t="e">
        <f aca="false">INDEX(#ref!,MATCH('HR '!$A17,#ref!,0))</f>
        <v>#NAME?</v>
      </c>
      <c r="DB17" s="14" t="e">
        <f aca="false">INDEX(#ref!,MATCH('HR '!$A17,#ref!,0))</f>
        <v>#NAME?</v>
      </c>
      <c r="DC17" s="14" t="e">
        <f aca="false">INDEX(#ref!,MATCH('HR '!$A17,#ref!,0))</f>
        <v>#NAME?</v>
      </c>
      <c r="DD17" s="17" t="e">
        <f aca="false">CT17</f>
        <v>#NAME?</v>
      </c>
      <c r="DE17" s="17" t="e">
        <f aca="false">IF(DC17&gt;99.99,"Yes","No")</f>
        <v>#NAME?</v>
      </c>
      <c r="DF17" s="14" t="str">
        <f aca="false">IF(ISNUMBER(SEARCH("Yes",DE17)),DC17,"")</f>
        <v/>
      </c>
      <c r="DG17" s="28"/>
      <c r="DH17" s="23"/>
      <c r="DI17" s="18"/>
      <c r="DJ17" s="18"/>
      <c r="DK17" s="16" t="n">
        <v>43922</v>
      </c>
      <c r="DL17" s="14" t="e">
        <f aca="false">INDEX(#ref!,MATCH('HR '!$A17,#ref!,0))</f>
        <v>#NAME?</v>
      </c>
      <c r="DM17" s="14" t="e">
        <f aca="false">INDEX(#ref!,MATCH('HR '!$A17,#ref!,0))</f>
        <v>#NAME?</v>
      </c>
      <c r="DN17" s="14" t="e">
        <f aca="false">INDEX(#ref!,MATCH('HR '!$A17,#ref!,0))</f>
        <v>#NAME?</v>
      </c>
      <c r="DO17" s="17" t="e">
        <f aca="false">DE17</f>
        <v>#NAME?</v>
      </c>
      <c r="DP17" s="17" t="e">
        <f aca="false">IF(DN17&gt;99.99,"Yes","No")</f>
        <v>#NAME?</v>
      </c>
      <c r="DQ17" s="14" t="str">
        <f aca="false">IF(ISNUMBER(SEARCH("Yes",DP17)),DN17,"")</f>
        <v/>
      </c>
      <c r="DR17" s="23"/>
      <c r="DS17" s="23"/>
      <c r="DT17" s="18"/>
      <c r="DU17" s="18"/>
      <c r="DV17" s="6" t="n">
        <v>43952</v>
      </c>
      <c r="DW17" s="14" t="e">
        <f aca="false">INDEX(#ref!,MATCH('HR '!$A17,#ref!,0))</f>
        <v>#NAME?</v>
      </c>
      <c r="DX17" s="14" t="e">
        <f aca="false">INDEX(#ref!,MATCH('HR '!$A17,#ref!,0))</f>
        <v>#NAME?</v>
      </c>
      <c r="DY17" s="14" t="e">
        <f aca="false">INDEX(#ref!,MATCH('HR '!$A17,#ref!,0))</f>
        <v>#NAME?</v>
      </c>
      <c r="DZ17" s="17" t="e">
        <f aca="false">DP17</f>
        <v>#NAME?</v>
      </c>
      <c r="EA17" s="17" t="e">
        <f aca="false">IF(DY17&gt;99.99,"Yes","No")</f>
        <v>#NAME?</v>
      </c>
      <c r="EB17" s="14" t="str">
        <f aca="false">IF(ISNUMBER(SEARCH("Yes",EA17)),DY17,"")</f>
        <v/>
      </c>
      <c r="EC17" s="23"/>
      <c r="ED17" s="26"/>
      <c r="EE17" s="26"/>
      <c r="EF17" s="26"/>
      <c r="EG17" s="16" t="n">
        <v>43983</v>
      </c>
      <c r="EH17" s="14" t="e">
        <f aca="false">INDEX(#ref!,MATCH('HR '!$A17,#ref!,0))</f>
        <v>#NAME?</v>
      </c>
      <c r="EI17" s="14" t="e">
        <f aca="false">INDEX(#ref!,MATCH('HR '!$A17,#ref!,0))</f>
        <v>#NAME?</v>
      </c>
      <c r="EJ17" s="14" t="e">
        <f aca="false">INDEX(#ref!,MATCH('HR '!$A17,#ref!,0))</f>
        <v>#NAME?</v>
      </c>
      <c r="EK17" s="17" t="e">
        <f aca="false">EA17</f>
        <v>#NAME?</v>
      </c>
      <c r="EL17" s="17" t="e">
        <f aca="false">IF(EJ17&gt;99.99,"Yes","No")</f>
        <v>#NAME?</v>
      </c>
      <c r="EM17" s="14" t="str">
        <f aca="false">IF(ISNUMBER(SEARCH("Yes",EL17)),EJ17,"")</f>
        <v/>
      </c>
      <c r="EN17" s="23"/>
      <c r="EO17" s="26"/>
      <c r="EP17" s="26"/>
      <c r="EQ17" s="26"/>
      <c r="ER17" s="6" t="n">
        <v>44013</v>
      </c>
      <c r="ES17" s="14" t="e">
        <f aca="false">INDEX(#ref!,MATCH('HR '!$A17,#ref!,0))</f>
        <v>#NAME?</v>
      </c>
      <c r="ET17" s="14" t="e">
        <f aca="false">INDEX(#ref!,MATCH('HR '!$A17,#ref!,0))</f>
        <v>#NAME?</v>
      </c>
      <c r="EU17" s="14" t="e">
        <f aca="false">INDEX(#ref!,MATCH('HR '!$A17,#ref!,0))</f>
        <v>#NAME?</v>
      </c>
      <c r="EV17" s="17" t="e">
        <f aca="false">EL17</f>
        <v>#NAME?</v>
      </c>
      <c r="EW17" s="17" t="e">
        <f aca="false">IF(EU17&gt;99.99,"Yes","No")</f>
        <v>#NAME?</v>
      </c>
      <c r="EX17" s="14" t="str">
        <f aca="false">IF(ISNUMBER(SEARCH("Yes",EW17)),EU17,"")</f>
        <v/>
      </c>
      <c r="EY17" s="23"/>
      <c r="EZ17" s="26"/>
      <c r="FA17" s="26"/>
      <c r="FB17" s="26"/>
      <c r="FC17" s="16" t="e">
        <f aca="false">#ref!</f>
        <v>#NAME?</v>
      </c>
      <c r="FD17" s="14" t="e">
        <f aca="false">INDEX(#ref!,MATCH('HR '!$A17,#ref!,0))</f>
        <v>#NAME?</v>
      </c>
      <c r="FE17" s="14" t="e">
        <f aca="false">INDEX(#ref!,MATCH('HR '!$A17,#ref!,0))</f>
        <v>#NAME?</v>
      </c>
      <c r="FF17" s="14" t="e">
        <f aca="false">INDEX(#ref!,MATCH('HR '!$A17,#ref!,0))</f>
        <v>#NAME?</v>
      </c>
      <c r="FG17" s="17" t="e">
        <f aca="false">EW17</f>
        <v>#NAME?</v>
      </c>
      <c r="FH17" s="17" t="e">
        <f aca="false">IF(FF17&gt;99.99,"Yes","No")</f>
        <v>#NAME?</v>
      </c>
      <c r="FI17" s="14" t="str">
        <f aca="false">IF(ISNUMBER(SEARCH("Yes",FH17)),FF17,"")</f>
        <v/>
      </c>
      <c r="FJ17" s="23"/>
      <c r="FK17" s="26"/>
      <c r="FL17" s="26"/>
      <c r="FM17" s="26"/>
      <c r="FN17" s="6" t="e">
        <f aca="false">#ref!</f>
        <v>#NAME?</v>
      </c>
      <c r="FO17" s="14" t="e">
        <f aca="false">INDEX(#ref!,MATCH('HR '!$A17,#ref!,0))</f>
        <v>#NAME?</v>
      </c>
      <c r="FP17" s="14" t="e">
        <f aca="false">INDEX(#ref!,MATCH('HR '!$A17,#ref!,0))</f>
        <v>#NAME?</v>
      </c>
      <c r="FQ17" s="14" t="e">
        <f aca="false">INDEX(#ref!,MATCH('HR '!$A17,#ref!,0))</f>
        <v>#NAME?</v>
      </c>
      <c r="FR17" s="17" t="e">
        <f aca="false">FH17</f>
        <v>#NAME?</v>
      </c>
      <c r="FS17" s="31" t="e">
        <f aca="false">IF(FQ17&gt;99.99,"Yes","No")</f>
        <v>#NAME?</v>
      </c>
      <c r="FT17" s="14" t="str">
        <f aca="false">IF(ISNUMBER(SEARCH("Yes",FS17)),FQ17,"")</f>
        <v/>
      </c>
      <c r="FU17" s="23"/>
      <c r="FV17" s="26"/>
      <c r="FW17" s="26"/>
      <c r="FX17" s="26"/>
      <c r="FY17" s="33" t="n">
        <f aca="false">FY16</f>
        <v>44287</v>
      </c>
      <c r="FZ17" s="14" t="e">
        <f aca="false">INDEX(#ref!,MATCH('HR '!$A17,#ref!,0))</f>
        <v>#NAME?</v>
      </c>
      <c r="GA17" s="14" t="e">
        <f aca="false">INDEX(#ref!,MATCH('HR '!$A17,#ref!,0))</f>
        <v>#NAME?</v>
      </c>
      <c r="GB17" s="14" t="e">
        <f aca="false">INDEX(#ref!,MATCH('HR '!$A17,#ref!,0))</f>
        <v>#NAME?</v>
      </c>
      <c r="GC17" s="17" t="e">
        <f aca="false">#ref!</f>
        <v>#NAME?</v>
      </c>
      <c r="GD17" s="31" t="e">
        <f aca="false">IF(GB17&gt;99.99,"Yes","No")</f>
        <v>#NAME?</v>
      </c>
      <c r="GE17" s="14" t="str">
        <f aca="false">IF(ISNUMBER(SEARCH("Yes",GD17)),GB17,"")</f>
        <v/>
      </c>
      <c r="GF17" s="40"/>
      <c r="GG17" s="26"/>
      <c r="GH17" s="26"/>
      <c r="GI17" s="26"/>
      <c r="GJ17" s="36" t="n">
        <f aca="false">GJ16</f>
        <v>44317</v>
      </c>
      <c r="GK17" s="14" t="n">
        <f aca="false">INDEX('[1]May 2021'!$L$2:$L$29,MATCH('HR '!$A17,'[1]May 2021'!$A$2:$A$29,0))</f>
        <v>91.68100425</v>
      </c>
      <c r="GL17" s="14" t="n">
        <f aca="false">INDEX('[1]May 2021'!$M$2:$M$29,MATCH('HR '!$A17,'[1]May 2021'!$A$2:$A$29,0))</f>
        <v>769.5775</v>
      </c>
      <c r="GM17" s="14" t="n">
        <f aca="false">INDEX('[1]May 2021'!$N$2:$N$29,MATCH('HR '!$A17,'[1]May 2021'!$A$2:$A$29,0))</f>
        <v>861.25850425</v>
      </c>
      <c r="GN17" s="17" t="s">
        <v>17</v>
      </c>
      <c r="GO17" s="31" t="str">
        <f aca="false">IF(GM17&gt;99.99,"Yes","No")</f>
        <v>Yes</v>
      </c>
      <c r="GP17" s="14" t="n">
        <f aca="false">IF(ISNUMBER(SEARCH("Yes",GO17)),GM17,"")</f>
        <v>861.25850425</v>
      </c>
      <c r="GQ17" s="73"/>
      <c r="GR17" s="38"/>
      <c r="GS17" s="38"/>
      <c r="GT17" s="38"/>
    </row>
    <row r="18" customFormat="false" ht="14.9" hidden="true" customHeight="false" outlineLevel="0" collapsed="false">
      <c r="A18" s="12" t="n">
        <v>895</v>
      </c>
      <c r="B18" s="13" t="s">
        <v>41</v>
      </c>
      <c r="C18" s="43"/>
      <c r="D18" s="44"/>
      <c r="E18" s="44"/>
      <c r="F18" s="44"/>
      <c r="G18" s="44"/>
      <c r="H18" s="45"/>
      <c r="I18" s="44"/>
      <c r="J18" s="44"/>
      <c r="K18" s="43"/>
      <c r="L18" s="44"/>
      <c r="M18" s="44"/>
      <c r="N18" s="44"/>
      <c r="O18" s="46"/>
      <c r="P18" s="46"/>
      <c r="Q18" s="44"/>
      <c r="R18" s="44"/>
      <c r="S18" s="43"/>
      <c r="T18" s="44"/>
      <c r="U18" s="44"/>
      <c r="V18" s="44"/>
      <c r="W18" s="46"/>
      <c r="X18" s="46"/>
      <c r="Y18" s="44"/>
      <c r="Z18" s="44"/>
      <c r="AA18" s="43"/>
      <c r="AB18" s="44"/>
      <c r="AC18" s="44"/>
      <c r="AD18" s="44"/>
      <c r="AE18" s="46"/>
      <c r="AF18" s="46"/>
      <c r="AG18" s="44"/>
      <c r="AH18" s="48"/>
      <c r="AI18" s="48"/>
      <c r="AJ18" s="47"/>
      <c r="AK18" s="47"/>
      <c r="AL18" s="43"/>
      <c r="AM18" s="44"/>
      <c r="AN18" s="44"/>
      <c r="AO18" s="44"/>
      <c r="AP18" s="46"/>
      <c r="AQ18" s="46"/>
      <c r="AR18" s="44"/>
      <c r="AS18" s="48"/>
      <c r="AT18" s="48"/>
      <c r="AU18" s="48"/>
      <c r="AV18" s="48"/>
      <c r="AW18" s="43"/>
      <c r="AX18" s="44"/>
      <c r="AY18" s="44"/>
      <c r="AZ18" s="44"/>
      <c r="BA18" s="46"/>
      <c r="BB18" s="46"/>
      <c r="BC18" s="44"/>
      <c r="BD18" s="48"/>
      <c r="BE18" s="48"/>
      <c r="BF18" s="47"/>
      <c r="BG18" s="47"/>
      <c r="BH18" s="43"/>
      <c r="BI18" s="44"/>
      <c r="BJ18" s="44"/>
      <c r="BK18" s="44"/>
      <c r="BL18" s="46"/>
      <c r="BM18" s="46"/>
      <c r="BN18" s="44"/>
      <c r="BO18" s="48"/>
      <c r="BP18" s="49"/>
      <c r="BQ18" s="49"/>
      <c r="BR18" s="49"/>
      <c r="BS18" s="43"/>
      <c r="BT18" s="44"/>
      <c r="BU18" s="44"/>
      <c r="BV18" s="44"/>
      <c r="BW18" s="46"/>
      <c r="BX18" s="46"/>
      <c r="BY18" s="44"/>
      <c r="BZ18" s="48"/>
      <c r="CA18" s="48"/>
      <c r="CB18" s="47"/>
      <c r="CC18" s="47"/>
      <c r="CD18" s="43"/>
      <c r="CE18" s="44"/>
      <c r="CF18" s="44"/>
      <c r="CG18" s="44"/>
      <c r="CH18" s="46"/>
      <c r="CI18" s="46"/>
      <c r="CJ18" s="44"/>
      <c r="CK18" s="48"/>
      <c r="CL18" s="49"/>
      <c r="CM18" s="49"/>
      <c r="CN18" s="49"/>
      <c r="CO18" s="43"/>
      <c r="CP18" s="44"/>
      <c r="CQ18" s="44"/>
      <c r="CR18" s="44"/>
      <c r="CS18" s="46"/>
      <c r="CT18" s="46"/>
      <c r="CU18" s="44"/>
      <c r="CV18" s="48"/>
      <c r="CW18" s="48"/>
      <c r="CX18" s="47"/>
      <c r="CY18" s="47"/>
      <c r="CZ18" s="43"/>
      <c r="DA18" s="44"/>
      <c r="DB18" s="44"/>
      <c r="DC18" s="44"/>
      <c r="DD18" s="46"/>
      <c r="DE18" s="46"/>
      <c r="DF18" s="44"/>
      <c r="DG18" s="48"/>
      <c r="DH18" s="48"/>
      <c r="DI18" s="47"/>
      <c r="DJ18" s="47"/>
      <c r="DK18" s="43"/>
      <c r="DL18" s="44"/>
      <c r="DM18" s="44"/>
      <c r="DN18" s="44"/>
      <c r="DO18" s="46"/>
      <c r="DP18" s="46"/>
      <c r="DQ18" s="44"/>
      <c r="DR18" s="48"/>
      <c r="DS18" s="48"/>
      <c r="DT18" s="47"/>
      <c r="DU18" s="47"/>
      <c r="DV18" s="43"/>
      <c r="DW18" s="44"/>
      <c r="DX18" s="44"/>
      <c r="DY18" s="44"/>
      <c r="DZ18" s="46"/>
      <c r="EA18" s="46"/>
      <c r="EB18" s="44"/>
      <c r="EC18" s="48"/>
      <c r="ED18" s="49"/>
      <c r="EE18" s="49"/>
      <c r="EF18" s="49"/>
      <c r="EG18" s="43"/>
      <c r="EH18" s="44"/>
      <c r="EI18" s="44"/>
      <c r="EJ18" s="44"/>
      <c r="EK18" s="46"/>
      <c r="EL18" s="46"/>
      <c r="EM18" s="44"/>
      <c r="EN18" s="48"/>
      <c r="EO18" s="49"/>
      <c r="EP18" s="49"/>
      <c r="EQ18" s="49"/>
      <c r="ER18" s="43"/>
      <c r="ES18" s="44"/>
      <c r="ET18" s="44"/>
      <c r="EU18" s="44"/>
      <c r="EV18" s="46"/>
      <c r="EW18" s="46"/>
      <c r="EX18" s="44"/>
      <c r="EY18" s="48"/>
      <c r="EZ18" s="49"/>
      <c r="FA18" s="49"/>
      <c r="FB18" s="49"/>
      <c r="FC18" s="43"/>
      <c r="FD18" s="44"/>
      <c r="FE18" s="44"/>
      <c r="FF18" s="44"/>
      <c r="FG18" s="46"/>
      <c r="FH18" s="46"/>
      <c r="FI18" s="44"/>
      <c r="FJ18" s="48"/>
      <c r="FK18" s="48"/>
      <c r="FL18" s="48"/>
      <c r="FM18" s="48"/>
      <c r="FN18" s="6" t="e">
        <f aca="false">FN17</f>
        <v>#NAME?</v>
      </c>
      <c r="FO18" s="14" t="e">
        <f aca="false">INDEX(#ref!,MATCH('HR '!$A18,#ref!,0))</f>
        <v>#NAME?</v>
      </c>
      <c r="FP18" s="14" t="e">
        <f aca="false">INDEX(#ref!,MATCH('HR '!$A18,#ref!,0))</f>
        <v>#NAME?</v>
      </c>
      <c r="FQ18" s="14" t="e">
        <f aca="false">INDEX(#ref!,MATCH('HR '!$A18,#ref!,0))</f>
        <v>#NAME?</v>
      </c>
      <c r="FR18" s="46"/>
      <c r="FS18" s="31" t="e">
        <f aca="false">IF(FQ18&gt;99.99,"Yes","No")</f>
        <v>#NAME?</v>
      </c>
      <c r="FT18" s="44"/>
      <c r="FU18" s="48"/>
      <c r="FV18" s="48"/>
      <c r="FW18" s="48"/>
      <c r="FX18" s="48"/>
      <c r="FY18" s="33" t="n">
        <f aca="false">FY17</f>
        <v>44287</v>
      </c>
      <c r="FZ18" s="14" t="e">
        <f aca="false">INDEX(#ref!,MATCH('HR '!$A18,#ref!,0))</f>
        <v>#NAME?</v>
      </c>
      <c r="GA18" s="14" t="e">
        <f aca="false">INDEX(#ref!,MATCH('HR '!$A18,#ref!,0))</f>
        <v>#NAME?</v>
      </c>
      <c r="GB18" s="14" t="e">
        <f aca="false">INDEX(#ref!,MATCH('HR '!$A18,#ref!,0))</f>
        <v>#NAME?</v>
      </c>
      <c r="GC18" s="17" t="e">
        <f aca="false">#ref!</f>
        <v>#NAME?</v>
      </c>
      <c r="GD18" s="31" t="s">
        <v>15</v>
      </c>
      <c r="GE18" s="34" t="s">
        <v>23</v>
      </c>
      <c r="GF18" s="34" t="s">
        <v>42</v>
      </c>
      <c r="GG18" s="35" t="e">
        <f aca="false">SUM(#ref!,#ref!,FZ18)</f>
        <v>#NAME?</v>
      </c>
      <c r="GH18" s="35" t="e">
        <f aca="false">SUM(#ref!,#ref!,GA18)</f>
        <v>#NAME?</v>
      </c>
      <c r="GI18" s="35" t="e">
        <f aca="false">SUM(#ref!,#ref!,GB18)</f>
        <v>#NAME?</v>
      </c>
      <c r="GJ18" s="36" t="n">
        <f aca="false">GJ17</f>
        <v>44317</v>
      </c>
      <c r="GK18" s="14" t="n">
        <f aca="false">INDEX('[1]May 2021'!$L$2:$L$29,MATCH('HR '!$A18,'[1]May 2021'!$A$2:$A$29,0))</f>
        <v>1.09694574</v>
      </c>
      <c r="GL18" s="14" t="n">
        <f aca="false">INDEX('[1]May 2021'!$M$2:$M$29,MATCH('HR '!$A18,'[1]May 2021'!$A$2:$A$29,0))</f>
        <v>9.0882</v>
      </c>
      <c r="GM18" s="14" t="n">
        <f aca="false">INDEX('[1]May 2021'!$N$2:$N$29,MATCH('HR '!$A18,'[1]May 2021'!$A$2:$A$29,0))</f>
        <v>10.18514574</v>
      </c>
      <c r="GN18" s="17" t="str">
        <f aca="false">GD18</f>
        <v>Yes</v>
      </c>
      <c r="GO18" s="31" t="str">
        <f aca="false">IF(GM18&gt;99.99,"Yes","No")</f>
        <v>No</v>
      </c>
      <c r="GP18" s="14" t="s">
        <v>16</v>
      </c>
      <c r="GQ18" s="42" t="s">
        <v>16</v>
      </c>
      <c r="GR18" s="38"/>
      <c r="GS18" s="38"/>
      <c r="GT18" s="38"/>
    </row>
    <row r="19" customFormat="false" ht="14.9" hidden="false" customHeight="false" outlineLevel="0" collapsed="false">
      <c r="A19" s="12" t="n">
        <v>718</v>
      </c>
      <c r="B19" s="13"/>
      <c r="C19" s="6" t="n">
        <v>43586</v>
      </c>
      <c r="D19" s="14" t="e">
        <f aca="false">INDEX(#ref!,MATCH('HR '!A19,#ref!,0))</f>
        <v>#NAME?</v>
      </c>
      <c r="E19" s="14" t="e">
        <f aca="false">INDEX(#ref!,MATCH('HR '!$A19,#ref!,0))</f>
        <v>#NAME?</v>
      </c>
      <c r="F19" s="14" t="e">
        <f aca="false">INDEX(#ref!,MATCH('HR '!$A19,#ref!,0))</f>
        <v>#NAME?</v>
      </c>
      <c r="G19" s="14" t="s">
        <v>14</v>
      </c>
      <c r="H19" s="15" t="s">
        <v>15</v>
      </c>
      <c r="I19" s="14" t="e">
        <f aca="false">IF(ISNUMBER(SEARCH("Yes",H19)),F19,"")</f>
        <v>#NAME?</v>
      </c>
      <c r="J19" s="14"/>
      <c r="K19" s="16" t="n">
        <v>43617</v>
      </c>
      <c r="L19" s="14" t="e">
        <f aca="false">INDEX(#ref!,MATCH('HR '!$A19,#ref!,0))</f>
        <v>#NAME?</v>
      </c>
      <c r="M19" s="14" t="e">
        <f aca="false">INDEX(#ref!,MATCH('HR '!$A19,#ref!,0))</f>
        <v>#NAME?</v>
      </c>
      <c r="N19" s="14" t="e">
        <f aca="false">INDEX(#ref!,MATCH('HR '!$A19,#ref!,0))</f>
        <v>#NAME?</v>
      </c>
      <c r="O19" s="17" t="str">
        <f aca="false">H19</f>
        <v>Yes</v>
      </c>
      <c r="P19" s="17" t="e">
        <f aca="false">IF(N19&gt;99.99,"Yes","No")</f>
        <v>#NAME?</v>
      </c>
      <c r="Q19" s="14" t="str">
        <f aca="false">IF(ISNUMBER(SEARCH("Yes",P19)),N19,"")</f>
        <v/>
      </c>
      <c r="R19" s="14"/>
      <c r="S19" s="6" t="n">
        <v>43647</v>
      </c>
      <c r="T19" s="14" t="e">
        <f aca="false">INDEX(#ref!,MATCH('HR '!$A19,#ref!,0))</f>
        <v>#NAME?</v>
      </c>
      <c r="U19" s="14" t="e">
        <f aca="false">INDEX(#ref!,MATCH('HR '!$A19,#ref!,0))</f>
        <v>#NAME?</v>
      </c>
      <c r="V19" s="14" t="e">
        <f aca="false">INDEX(#ref!,MATCH('HR '!$A19,#ref!,0))</f>
        <v>#NAME?</v>
      </c>
      <c r="W19" s="17" t="e">
        <f aca="false">P19</f>
        <v>#NAME?</v>
      </c>
      <c r="X19" s="17" t="e">
        <f aca="false">IF(V19&gt;99.99,"Yes","No")</f>
        <v>#NAME?</v>
      </c>
      <c r="Y19" s="14" t="str">
        <f aca="false">IF(ISNUMBER(SEARCH("Yes",X19)),V19,"")</f>
        <v/>
      </c>
      <c r="Z19" s="14"/>
      <c r="AA19" s="16" t="n">
        <v>43678</v>
      </c>
      <c r="AB19" s="14" t="e">
        <f aca="false">INDEX(#ref!,MATCH('HR '!$A19,#ref!,0))</f>
        <v>#NAME?</v>
      </c>
      <c r="AC19" s="14" t="e">
        <f aca="false">INDEX(#ref!,MATCH('HR '!$A19,#ref!,0))</f>
        <v>#NAME?</v>
      </c>
      <c r="AD19" s="14" t="e">
        <f aca="false">INDEX(#ref!,MATCH('HR '!$A19,#ref!,0))</f>
        <v>#NAME?</v>
      </c>
      <c r="AE19" s="17" t="e">
        <f aca="false">X19</f>
        <v>#NAME?</v>
      </c>
      <c r="AF19" s="17" t="e">
        <f aca="false">IF(AD19&gt;99.99,"Yes","No")</f>
        <v>#NAME?</v>
      </c>
      <c r="AG19" s="14" t="str">
        <f aca="false">IF(ISNUMBER(SEARCH("Yes",AF19)),AD19,"")</f>
        <v/>
      </c>
      <c r="AH19" s="23"/>
      <c r="AI19" s="23"/>
      <c r="AJ19" s="18"/>
      <c r="AK19" s="18"/>
      <c r="AL19" s="6" t="n">
        <v>43709</v>
      </c>
      <c r="AM19" s="14" t="e">
        <f aca="false">INDEX(#ref!,MATCH('HR '!$A19,#ref!,0))</f>
        <v>#NAME?</v>
      </c>
      <c r="AN19" s="14" t="e">
        <f aca="false">INDEX(#ref!,MATCH('HR '!$A19,#ref!,0))</f>
        <v>#NAME?</v>
      </c>
      <c r="AO19" s="14" t="e">
        <f aca="false">INDEX(#ref!,MATCH('HR '!$A19,#ref!,0))</f>
        <v>#NAME?</v>
      </c>
      <c r="AP19" s="17" t="e">
        <f aca="false">AF19</f>
        <v>#NAME?</v>
      </c>
      <c r="AQ19" s="17" t="e">
        <f aca="false">IF(AO19&gt;99.99,"Yes","No")</f>
        <v>#NAME?</v>
      </c>
      <c r="AR19" s="14" t="str">
        <f aca="false">IF(ISNUMBER(SEARCH("Yes",AQ19)),AO19,"")</f>
        <v/>
      </c>
      <c r="AS19" s="23"/>
      <c r="AT19" s="23"/>
      <c r="AU19" s="23"/>
      <c r="AV19" s="23"/>
      <c r="AW19" s="16" t="n">
        <f aca="false">AW17</f>
        <v>43739</v>
      </c>
      <c r="AX19" s="14" t="e">
        <f aca="false">INDEX(#ref!,MATCH('HR '!$A19,#ref!,0))</f>
        <v>#NAME?</v>
      </c>
      <c r="AY19" s="14" t="e">
        <f aca="false">INDEX(#ref!,MATCH('HR '!$A19,#ref!,0))</f>
        <v>#NAME?</v>
      </c>
      <c r="AZ19" s="14" t="e">
        <f aca="false">INDEX(#ref!,MATCH('HR '!$A19,#ref!,0))</f>
        <v>#NAME?</v>
      </c>
      <c r="BA19" s="17" t="e">
        <f aca="false">AQ19</f>
        <v>#NAME?</v>
      </c>
      <c r="BB19" s="17" t="e">
        <f aca="false">IF(AZ19&gt;99.99,"Yes","No")</f>
        <v>#NAME?</v>
      </c>
      <c r="BC19" s="14" t="str">
        <f aca="false">IF(ISNUMBER(SEARCH("Yes",BB19)),AZ19,"")</f>
        <v/>
      </c>
      <c r="BD19" s="28" t="s">
        <v>14</v>
      </c>
      <c r="BE19" s="23"/>
      <c r="BF19" s="18"/>
      <c r="BG19" s="18"/>
      <c r="BH19" s="6" t="n">
        <v>43770</v>
      </c>
      <c r="BI19" s="14" t="e">
        <f aca="false">INDEX(#ref!,MATCH('HR '!$A19,#ref!,0))</f>
        <v>#NAME?</v>
      </c>
      <c r="BJ19" s="14" t="e">
        <f aca="false">INDEX(#ref!,MATCH('HR '!$A19,#ref!,0))</f>
        <v>#NAME?</v>
      </c>
      <c r="BK19" s="14" t="e">
        <f aca="false">INDEX(#ref!,MATCH('HR '!$A19,#ref!,0))</f>
        <v>#NAME?</v>
      </c>
      <c r="BL19" s="17" t="e">
        <f aca="false">BB19</f>
        <v>#NAME?</v>
      </c>
      <c r="BM19" s="17" t="e">
        <f aca="false">IF(BK19&gt;99.99,"Yes","No")</f>
        <v>#NAME?</v>
      </c>
      <c r="BN19" s="14" t="str">
        <f aca="false">IF(ISNUMBER(SEARCH("Yes",BM19)),BK19,"")</f>
        <v/>
      </c>
      <c r="BO19" s="23" t="s">
        <v>14</v>
      </c>
      <c r="BP19" s="26"/>
      <c r="BQ19" s="26"/>
      <c r="BR19" s="26"/>
      <c r="BS19" s="16" t="n">
        <f aca="false">BS17</f>
        <v>43800</v>
      </c>
      <c r="BT19" s="14" t="e">
        <f aca="false">INDEX(#ref!,MATCH('HR '!$A19,#ref!,0))</f>
        <v>#NAME?</v>
      </c>
      <c r="BU19" s="14" t="e">
        <f aca="false">INDEX(#ref!,MATCH('HR '!$A19,#ref!,0))</f>
        <v>#NAME?</v>
      </c>
      <c r="BV19" s="14" t="e">
        <f aca="false">INDEX(#ref!,MATCH('HR '!$A19,#ref!,0))</f>
        <v>#NAME?</v>
      </c>
      <c r="BW19" s="17" t="e">
        <f aca="false">BM19</f>
        <v>#NAME?</v>
      </c>
      <c r="BX19" s="17" t="e">
        <f aca="false">IF(BV19&gt;99.99,"Yes","No")</f>
        <v>#NAME?</v>
      </c>
      <c r="BY19" s="14" t="str">
        <f aca="false">IF(ISNUMBER(SEARCH("Yes",BX19)),BV19,"")</f>
        <v/>
      </c>
      <c r="BZ19" s="28"/>
      <c r="CA19" s="23"/>
      <c r="CB19" s="18"/>
      <c r="CC19" s="18"/>
      <c r="CD19" s="6" t="n">
        <v>43831</v>
      </c>
      <c r="CE19" s="14" t="e">
        <f aca="false">INDEX(#ref!,MATCH('HR '!$A19,#ref!,0))</f>
        <v>#NAME?</v>
      </c>
      <c r="CF19" s="14" t="e">
        <f aca="false">INDEX(#ref!,MATCH('HR '!$A19,#ref!,0))</f>
        <v>#NAME?</v>
      </c>
      <c r="CG19" s="14" t="e">
        <f aca="false">INDEX(#ref!,MATCH('HR '!$A19,#ref!,0))</f>
        <v>#NAME?</v>
      </c>
      <c r="CH19" s="17" t="e">
        <f aca="false">BX19</f>
        <v>#NAME?</v>
      </c>
      <c r="CI19" s="17" t="e">
        <f aca="false">IF(CG19&gt;99.99,"Yes","No")</f>
        <v>#NAME?</v>
      </c>
      <c r="CJ19" s="14" t="str">
        <f aca="false">IF(ISNUMBER(SEARCH("Yes",CI19)),CG19,"")</f>
        <v/>
      </c>
      <c r="CK19" s="23"/>
      <c r="CL19" s="26"/>
      <c r="CM19" s="26"/>
      <c r="CN19" s="26"/>
      <c r="CO19" s="16" t="n">
        <v>43862</v>
      </c>
      <c r="CP19" s="14" t="e">
        <f aca="false">INDEX(#ref!,MATCH('HR '!$A19,#ref!,0))</f>
        <v>#NAME?</v>
      </c>
      <c r="CQ19" s="14" t="e">
        <f aca="false">INDEX(#ref!,MATCH('HR '!$A19,#ref!,0))</f>
        <v>#NAME?</v>
      </c>
      <c r="CR19" s="14" t="e">
        <f aca="false">INDEX(#ref!,MATCH('HR '!$A19,#ref!,0))</f>
        <v>#NAME?</v>
      </c>
      <c r="CS19" s="17" t="e">
        <f aca="false">CI19</f>
        <v>#NAME?</v>
      </c>
      <c r="CT19" s="17" t="e">
        <f aca="false">IF(CR19&gt;99.99,"Yes","No")</f>
        <v>#NAME?</v>
      </c>
      <c r="CU19" s="14" t="str">
        <f aca="false">IF(ISNUMBER(SEARCH("Yes",CT19)),CR19,"")</f>
        <v/>
      </c>
      <c r="CV19" s="28"/>
      <c r="CW19" s="23"/>
      <c r="CX19" s="18"/>
      <c r="CY19" s="18"/>
      <c r="CZ19" s="6" t="n">
        <v>43891</v>
      </c>
      <c r="DA19" s="14" t="e">
        <f aca="false">INDEX(#ref!,MATCH('HR '!$A19,#ref!,0))</f>
        <v>#NAME?</v>
      </c>
      <c r="DB19" s="14" t="e">
        <f aca="false">INDEX(#ref!,MATCH('HR '!$A19,#ref!,0))</f>
        <v>#NAME?</v>
      </c>
      <c r="DC19" s="14" t="e">
        <f aca="false">INDEX(#ref!,MATCH('HR '!$A19,#ref!,0))</f>
        <v>#NAME?</v>
      </c>
      <c r="DD19" s="17" t="e">
        <f aca="false">CT19</f>
        <v>#NAME?</v>
      </c>
      <c r="DE19" s="17" t="e">
        <f aca="false">IF(DC19&gt;99.99,"Yes","No")</f>
        <v>#NAME?</v>
      </c>
      <c r="DF19" s="14" t="str">
        <f aca="false">IF(ISNUMBER(SEARCH("Yes",DE19)),DC19,"")</f>
        <v/>
      </c>
      <c r="DG19" s="28"/>
      <c r="DH19" s="23"/>
      <c r="DI19" s="18"/>
      <c r="DJ19" s="18"/>
      <c r="DK19" s="16" t="n">
        <v>43922</v>
      </c>
      <c r="DL19" s="14" t="e">
        <f aca="false">INDEX(#ref!,MATCH('HR '!$A19,#ref!,0))</f>
        <v>#NAME?</v>
      </c>
      <c r="DM19" s="14" t="e">
        <f aca="false">INDEX(#ref!,MATCH('HR '!$A19,#ref!,0))</f>
        <v>#NAME?</v>
      </c>
      <c r="DN19" s="14" t="e">
        <f aca="false">INDEX(#ref!,MATCH('HR '!$A19,#ref!,0))</f>
        <v>#NAME?</v>
      </c>
      <c r="DO19" s="17" t="e">
        <f aca="false">DE19</f>
        <v>#NAME?</v>
      </c>
      <c r="DP19" s="17" t="e">
        <f aca="false">IF(DN19&gt;99.99,"Yes","No")</f>
        <v>#NAME?</v>
      </c>
      <c r="DQ19" s="14" t="str">
        <f aca="false">IF(ISNUMBER(SEARCH("Yes",DP19)),DN19,"")</f>
        <v/>
      </c>
      <c r="DR19" s="23"/>
      <c r="DS19" s="23"/>
      <c r="DT19" s="18"/>
      <c r="DU19" s="18"/>
      <c r="DV19" s="6" t="n">
        <v>43952</v>
      </c>
      <c r="DW19" s="14" t="e">
        <f aca="false">INDEX(#ref!,MATCH('HR '!$A19,#ref!,0))</f>
        <v>#NAME?</v>
      </c>
      <c r="DX19" s="14" t="e">
        <f aca="false">INDEX(#ref!,MATCH('HR '!$A19,#ref!,0))</f>
        <v>#NAME?</v>
      </c>
      <c r="DY19" s="14" t="e">
        <f aca="false">INDEX(#ref!,MATCH('HR '!$A19,#ref!,0))</f>
        <v>#NAME?</v>
      </c>
      <c r="DZ19" s="17" t="e">
        <f aca="false">DP19</f>
        <v>#NAME?</v>
      </c>
      <c r="EA19" s="17" t="e">
        <f aca="false">IF(DY19&gt;99.99,"Yes","No")</f>
        <v>#NAME?</v>
      </c>
      <c r="EB19" s="14" t="str">
        <f aca="false">IF(ISNUMBER(SEARCH("Yes",EA19)),DY19,"")</f>
        <v/>
      </c>
      <c r="EC19" s="23"/>
      <c r="ED19" s="26"/>
      <c r="EE19" s="26"/>
      <c r="EF19" s="26"/>
      <c r="EG19" s="16" t="n">
        <v>43983</v>
      </c>
      <c r="EH19" s="14" t="e">
        <f aca="false">INDEX(#ref!,MATCH('HR '!$A19,#ref!,0))</f>
        <v>#NAME?</v>
      </c>
      <c r="EI19" s="14" t="e">
        <f aca="false">INDEX(#ref!,MATCH('HR '!$A19,#ref!,0))</f>
        <v>#NAME?</v>
      </c>
      <c r="EJ19" s="14" t="e">
        <f aca="false">INDEX(#ref!,MATCH('HR '!$A19,#ref!,0))</f>
        <v>#NAME?</v>
      </c>
      <c r="EK19" s="17" t="e">
        <f aca="false">EA19</f>
        <v>#NAME?</v>
      </c>
      <c r="EL19" s="17" t="e">
        <f aca="false">IF(EJ19&gt;99.99,"Yes","No")</f>
        <v>#NAME?</v>
      </c>
      <c r="EM19" s="14" t="str">
        <f aca="false">IF(ISNUMBER(SEARCH("Yes",EL19)),EJ19,"")</f>
        <v/>
      </c>
      <c r="EN19" s="23"/>
      <c r="EO19" s="26"/>
      <c r="EP19" s="26"/>
      <c r="EQ19" s="26"/>
      <c r="ER19" s="6" t="n">
        <v>44013</v>
      </c>
      <c r="ES19" s="14" t="e">
        <f aca="false">INDEX(#ref!,MATCH('HR '!$A19,#ref!,0))</f>
        <v>#NAME?</v>
      </c>
      <c r="ET19" s="14" t="e">
        <f aca="false">INDEX(#ref!,MATCH('HR '!$A19,#ref!,0))</f>
        <v>#NAME?</v>
      </c>
      <c r="EU19" s="14" t="e">
        <f aca="false">INDEX(#ref!,MATCH('HR '!$A19,#ref!,0))</f>
        <v>#NAME?</v>
      </c>
      <c r="EV19" s="17" t="e">
        <f aca="false">EL19</f>
        <v>#NAME?</v>
      </c>
      <c r="EW19" s="17" t="e">
        <f aca="false">IF(EU19&gt;99.99,"Yes","No")</f>
        <v>#NAME?</v>
      </c>
      <c r="EX19" s="14" t="str">
        <f aca="false">IF(ISNUMBER(SEARCH("Yes",EW19)),EU19,"")</f>
        <v/>
      </c>
      <c r="EY19" s="23"/>
      <c r="EZ19" s="26"/>
      <c r="FA19" s="26"/>
      <c r="FB19" s="26"/>
      <c r="FC19" s="16" t="e">
        <f aca="false">#ref!</f>
        <v>#NAME?</v>
      </c>
      <c r="FD19" s="14" t="e">
        <f aca="false">INDEX(#ref!,MATCH('HR '!$A19,#ref!,0))</f>
        <v>#NAME?</v>
      </c>
      <c r="FE19" s="14" t="e">
        <f aca="false">INDEX(#ref!,MATCH('HR '!$A19,#ref!,0))</f>
        <v>#NAME?</v>
      </c>
      <c r="FF19" s="14" t="e">
        <f aca="false">INDEX(#ref!,MATCH('HR '!$A19,#ref!,0))</f>
        <v>#NAME?</v>
      </c>
      <c r="FG19" s="17" t="e">
        <f aca="false">EW19</f>
        <v>#NAME?</v>
      </c>
      <c r="FH19" s="17" t="e">
        <f aca="false">IF(FF19&gt;99.99,"Yes","No")</f>
        <v>#NAME?</v>
      </c>
      <c r="FI19" s="14" t="str">
        <f aca="false">IF(ISNUMBER(SEARCH("Yes",FH19)),FF19,"")</f>
        <v/>
      </c>
      <c r="FJ19" s="23"/>
      <c r="FK19" s="26"/>
      <c r="FL19" s="26"/>
      <c r="FM19" s="26"/>
      <c r="FN19" s="6" t="e">
        <f aca="false">#ref!</f>
        <v>#NAME?</v>
      </c>
      <c r="FO19" s="14" t="e">
        <f aca="false">INDEX(#ref!,MATCH('HR '!$A19,#ref!,0))</f>
        <v>#NAME?</v>
      </c>
      <c r="FP19" s="14" t="e">
        <f aca="false">INDEX(#ref!,MATCH('HR '!$A19,#ref!,0))</f>
        <v>#NAME?</v>
      </c>
      <c r="FQ19" s="14" t="e">
        <f aca="false">INDEX(#ref!,MATCH('HR '!$A19,#ref!,0))</f>
        <v>#NAME?</v>
      </c>
      <c r="FR19" s="17" t="e">
        <f aca="false">FH19</f>
        <v>#NAME?</v>
      </c>
      <c r="FS19" s="31" t="e">
        <f aca="false">IF(FQ19&gt;99.99,"Yes","No")</f>
        <v>#NAME?</v>
      </c>
      <c r="FT19" s="14" t="str">
        <f aca="false">IF(ISNUMBER(SEARCH("Yes",FS19)),FQ19,"")</f>
        <v/>
      </c>
      <c r="FU19" s="23"/>
      <c r="FV19" s="26"/>
      <c r="FW19" s="26"/>
      <c r="FX19" s="26"/>
      <c r="FY19" s="33" t="n">
        <f aca="false">FY18</f>
        <v>44287</v>
      </c>
      <c r="FZ19" s="14" t="e">
        <f aca="false">INDEX(#ref!,MATCH('HR '!$A19,#ref!,0))</f>
        <v>#NAME?</v>
      </c>
      <c r="GA19" s="14" t="e">
        <f aca="false">INDEX(#ref!,MATCH('HR '!$A19,#ref!,0))</f>
        <v>#NAME?</v>
      </c>
      <c r="GB19" s="14" t="e">
        <f aca="false">INDEX(#ref!,MATCH('HR '!$A19,#ref!,0))</f>
        <v>#NAME?</v>
      </c>
      <c r="GC19" s="17" t="e">
        <f aca="false">#ref!</f>
        <v>#NAME?</v>
      </c>
      <c r="GD19" s="31" t="e">
        <f aca="false">IF(GB19&gt;99.99,"Yes","No")</f>
        <v>#NAME?</v>
      </c>
      <c r="GE19" s="14" t="str">
        <f aca="false">IF(ISNUMBER(SEARCH("Yes",GD19)),GB19,"")</f>
        <v/>
      </c>
      <c r="GF19" s="40"/>
      <c r="GG19" s="26"/>
      <c r="GH19" s="26"/>
      <c r="GI19" s="26"/>
      <c r="GJ19" s="36" t="n">
        <f aca="false">GJ18</f>
        <v>44317</v>
      </c>
      <c r="GK19" s="14" t="n">
        <f aca="false">INDEX('[1]May 2021'!$L$2:$L$29,MATCH('HR '!$A19,'[1]May 2021'!$A$2:$A$29,0))</f>
        <v>124.38504342</v>
      </c>
      <c r="GL19" s="14" t="n">
        <f aca="false">INDEX('[1]May 2021'!$M$2:$M$29,MATCH('HR '!$A19,'[1]May 2021'!$A$2:$A$29,0))</f>
        <v>1030.5306</v>
      </c>
      <c r="GM19" s="14" t="n">
        <f aca="false">INDEX('[1]May 2021'!$N$2:$N$29,MATCH('HR '!$A19,'[1]May 2021'!$A$2:$A$29,0))</f>
        <v>1154.91564342</v>
      </c>
      <c r="GN19" s="17" t="s">
        <v>17</v>
      </c>
      <c r="GO19" s="31" t="str">
        <f aca="false">IF(GM19&gt;99.99,"Yes","No")</f>
        <v>Yes</v>
      </c>
      <c r="GP19" s="14" t="n">
        <f aca="false">IF(ISNUMBER(SEARCH("Yes",GO19)),GM19,"")</f>
        <v>1154.91564342</v>
      </c>
      <c r="GQ19" s="73"/>
      <c r="GR19" s="38"/>
      <c r="GS19" s="38"/>
      <c r="GT19" s="38"/>
    </row>
    <row r="20" customFormat="false" ht="14.9" hidden="false" customHeight="false" outlineLevel="0" collapsed="false">
      <c r="A20" s="12" t="n">
        <v>862</v>
      </c>
      <c r="B20" s="13"/>
      <c r="C20" s="6" t="n">
        <v>43586</v>
      </c>
      <c r="D20" s="14" t="e">
        <f aca="false">INDEX(#ref!,MATCH('HR '!A20,#ref!,0))</f>
        <v>#NAME?</v>
      </c>
      <c r="E20" s="14" t="e">
        <f aca="false">INDEX(#ref!,MATCH('HR '!$A20,#ref!,0))</f>
        <v>#NAME?</v>
      </c>
      <c r="F20" s="14" t="e">
        <f aca="false">INDEX(#ref!,MATCH('HR '!$A20,#ref!,0))</f>
        <v>#NAME?</v>
      </c>
      <c r="G20" s="14" t="s">
        <v>14</v>
      </c>
      <c r="H20" s="15" t="s">
        <v>15</v>
      </c>
      <c r="I20" s="14" t="e">
        <f aca="false">IF(ISNUMBER(SEARCH("Yes",H20)),F20,"")</f>
        <v>#NAME?</v>
      </c>
      <c r="J20" s="14"/>
      <c r="K20" s="16" t="n">
        <v>43617</v>
      </c>
      <c r="L20" s="14" t="e">
        <f aca="false">INDEX(#ref!,MATCH('HR '!$A20,#ref!,0))</f>
        <v>#NAME?</v>
      </c>
      <c r="M20" s="14" t="e">
        <f aca="false">INDEX(#ref!,MATCH('HR '!$A20,#ref!,0))</f>
        <v>#NAME?</v>
      </c>
      <c r="N20" s="14" t="e">
        <f aca="false">INDEX(#ref!,MATCH('HR '!$A20,#ref!,0))</f>
        <v>#NAME?</v>
      </c>
      <c r="O20" s="17" t="str">
        <f aca="false">H20</f>
        <v>Yes</v>
      </c>
      <c r="P20" s="17" t="e">
        <f aca="false">IF(N20&gt;99.99,"Yes","No")</f>
        <v>#NAME?</v>
      </c>
      <c r="Q20" s="18"/>
      <c r="R20" s="14" t="s">
        <v>16</v>
      </c>
      <c r="S20" s="6" t="n">
        <v>43647</v>
      </c>
      <c r="T20" s="14" t="e">
        <f aca="false">INDEX(#ref!,MATCH('HR '!$A20,#ref!,0))</f>
        <v>#NAME?</v>
      </c>
      <c r="U20" s="14" t="e">
        <f aca="false">INDEX(#ref!,MATCH('HR '!$A20,#ref!,0))</f>
        <v>#NAME?</v>
      </c>
      <c r="V20" s="14" t="e">
        <f aca="false">INDEX(#ref!,MATCH('HR '!$A20,#ref!,0))</f>
        <v>#NAME?</v>
      </c>
      <c r="W20" s="17" t="e">
        <f aca="false">P20</f>
        <v>#NAME?</v>
      </c>
      <c r="X20" s="17" t="e">
        <f aca="false">IF(V20&gt;99.99,"Yes","No")</f>
        <v>#NAME?</v>
      </c>
      <c r="Y20" s="19" t="e">
        <f aca="false">SUM(V20+N20)</f>
        <v>#NAME?</v>
      </c>
      <c r="Z20" s="19" t="s">
        <v>18</v>
      </c>
      <c r="AA20" s="16" t="n">
        <v>43678</v>
      </c>
      <c r="AB20" s="14" t="e">
        <f aca="false">INDEX(#ref!,MATCH('HR '!$A20,#ref!,0))</f>
        <v>#NAME?</v>
      </c>
      <c r="AC20" s="14" t="e">
        <f aca="false">INDEX(#ref!,MATCH('HR '!$A20,#ref!,0))</f>
        <v>#NAME?</v>
      </c>
      <c r="AD20" s="14" t="e">
        <f aca="false">INDEX(#ref!,MATCH('HR '!$A20,#ref!,0))</f>
        <v>#NAME?</v>
      </c>
      <c r="AE20" s="17" t="e">
        <f aca="false">X20</f>
        <v>#NAME?</v>
      </c>
      <c r="AF20" s="17" t="e">
        <f aca="false">IF(AD20&gt;99.99,"Yes","No")</f>
        <v>#NAME?</v>
      </c>
      <c r="AG20" s="14" t="str">
        <f aca="false">IF(ISNUMBER(SEARCH("Yes",AF20)),AD20,"")</f>
        <v/>
      </c>
      <c r="AH20" s="23"/>
      <c r="AI20" s="23"/>
      <c r="AJ20" s="18"/>
      <c r="AK20" s="18"/>
      <c r="AL20" s="6" t="n">
        <v>43709</v>
      </c>
      <c r="AM20" s="14" t="e">
        <f aca="false">INDEX(#ref!,MATCH('HR '!$A20,#ref!,0))</f>
        <v>#NAME?</v>
      </c>
      <c r="AN20" s="14" t="e">
        <f aca="false">INDEX(#ref!,MATCH('HR '!$A20,#ref!,0))</f>
        <v>#NAME?</v>
      </c>
      <c r="AO20" s="14" t="e">
        <f aca="false">INDEX(#ref!,MATCH('HR '!$A20,#ref!,0))</f>
        <v>#NAME?</v>
      </c>
      <c r="AP20" s="17" t="e">
        <f aca="false">AF20</f>
        <v>#NAME?</v>
      </c>
      <c r="AQ20" s="17" t="e">
        <f aca="false">IF(AO20&gt;99.99,"Yes","No")</f>
        <v>#NAME?</v>
      </c>
      <c r="AR20" s="14" t="str">
        <f aca="false">IF(ISNUMBER(SEARCH("Yes",AQ20)),AO20,"")</f>
        <v/>
      </c>
      <c r="AS20" s="23"/>
      <c r="AT20" s="23"/>
      <c r="AU20" s="23"/>
      <c r="AV20" s="23"/>
      <c r="AW20" s="16" t="n">
        <v>43739</v>
      </c>
      <c r="AX20" s="14" t="e">
        <f aca="false">INDEX(#ref!,MATCH('HR '!$A20,#ref!,0))</f>
        <v>#NAME?</v>
      </c>
      <c r="AY20" s="14" t="e">
        <f aca="false">INDEX(#ref!,MATCH('HR '!$A20,#ref!,0))</f>
        <v>#NAME?</v>
      </c>
      <c r="AZ20" s="14" t="e">
        <f aca="false">INDEX(#ref!,MATCH('HR '!$A20,#ref!,0))</f>
        <v>#NAME?</v>
      </c>
      <c r="BA20" s="17" t="e">
        <f aca="false">AQ20</f>
        <v>#NAME?</v>
      </c>
      <c r="BB20" s="17" t="e">
        <f aca="false">IF(AZ20&gt;99.99,"Yes","No")</f>
        <v>#NAME?</v>
      </c>
      <c r="BC20" s="14" t="str">
        <f aca="false">IF(ISNUMBER(SEARCH("Yes",BB20)),AZ20,"")</f>
        <v/>
      </c>
      <c r="BD20" s="28" t="s">
        <v>14</v>
      </c>
      <c r="BE20" s="23"/>
      <c r="BF20" s="18"/>
      <c r="BG20" s="18"/>
      <c r="BH20" s="6" t="n">
        <v>43770</v>
      </c>
      <c r="BI20" s="14" t="e">
        <f aca="false">INDEX(#ref!,MATCH('HR '!$A20,#ref!,0))</f>
        <v>#NAME?</v>
      </c>
      <c r="BJ20" s="14" t="e">
        <f aca="false">INDEX(#ref!,MATCH('HR '!$A20,#ref!,0))</f>
        <v>#NAME?</v>
      </c>
      <c r="BK20" s="14" t="e">
        <f aca="false">INDEX(#ref!,MATCH('HR '!$A20,#ref!,0))</f>
        <v>#NAME?</v>
      </c>
      <c r="BL20" s="17" t="e">
        <f aca="false">BB20</f>
        <v>#NAME?</v>
      </c>
      <c r="BM20" s="17" t="e">
        <f aca="false">IF(BK20&gt;99.99,"Yes","No")</f>
        <v>#NAME?</v>
      </c>
      <c r="BN20" s="14" t="str">
        <f aca="false">IF(ISNUMBER(SEARCH("Yes",BM20)),BK20,"")</f>
        <v/>
      </c>
      <c r="BO20" s="23" t="s">
        <v>14</v>
      </c>
      <c r="BP20" s="26"/>
      <c r="BQ20" s="26"/>
      <c r="BR20" s="26"/>
      <c r="BS20" s="16" t="n">
        <v>43800</v>
      </c>
      <c r="BT20" s="14" t="e">
        <f aca="false">INDEX(#ref!,MATCH('HR '!$A20,#ref!,0))</f>
        <v>#NAME?</v>
      </c>
      <c r="BU20" s="14" t="e">
        <f aca="false">INDEX(#ref!,MATCH('HR '!$A20,#ref!,0))</f>
        <v>#NAME?</v>
      </c>
      <c r="BV20" s="14" t="e">
        <f aca="false">INDEX(#ref!,MATCH('HR '!$A20,#ref!,0))</f>
        <v>#NAME?</v>
      </c>
      <c r="BW20" s="17" t="e">
        <f aca="false">BM20</f>
        <v>#NAME?</v>
      </c>
      <c r="BX20" s="17" t="e">
        <f aca="false">IF(BV20&gt;99.99,"Yes","No")</f>
        <v>#NAME?</v>
      </c>
      <c r="BY20" s="14" t="str">
        <f aca="false">IF(ISNUMBER(SEARCH("Yes",BX20)),BV20,"")</f>
        <v/>
      </c>
      <c r="BZ20" s="28"/>
      <c r="CA20" s="23"/>
      <c r="CB20" s="18"/>
      <c r="CC20" s="18"/>
      <c r="CD20" s="6" t="n">
        <v>43831</v>
      </c>
      <c r="CE20" s="14" t="e">
        <f aca="false">INDEX(#ref!,MATCH('HR '!$A20,#ref!,0))</f>
        <v>#NAME?</v>
      </c>
      <c r="CF20" s="14" t="e">
        <f aca="false">INDEX(#ref!,MATCH('HR '!$A20,#ref!,0))</f>
        <v>#NAME?</v>
      </c>
      <c r="CG20" s="14" t="e">
        <f aca="false">INDEX(#ref!,MATCH('HR '!$A20,#ref!,0))</f>
        <v>#NAME?</v>
      </c>
      <c r="CH20" s="17" t="e">
        <f aca="false">BX20</f>
        <v>#NAME?</v>
      </c>
      <c r="CI20" s="17" t="e">
        <f aca="false">IF(CG20&gt;99.99,"Yes","No")</f>
        <v>#NAME?</v>
      </c>
      <c r="CJ20" s="14" t="str">
        <f aca="false">IF(ISNUMBER(SEARCH("Yes",CI20)),CG20,"")</f>
        <v/>
      </c>
      <c r="CK20" s="23" t="s">
        <v>16</v>
      </c>
      <c r="CL20" s="26"/>
      <c r="CM20" s="26"/>
      <c r="CN20" s="26"/>
      <c r="CO20" s="16" t="n">
        <v>43862</v>
      </c>
      <c r="CP20" s="14" t="e">
        <f aca="false">INDEX(#ref!,MATCH('HR '!$A20,#ref!,0))</f>
        <v>#NAME?</v>
      </c>
      <c r="CQ20" s="14" t="e">
        <f aca="false">INDEX(#ref!,MATCH('HR '!$A20,#ref!,0))</f>
        <v>#NAME?</v>
      </c>
      <c r="CR20" s="14" t="e">
        <f aca="false">INDEX(#ref!,MATCH('HR '!$A20,#ref!,0))</f>
        <v>#NAME?</v>
      </c>
      <c r="CS20" s="17" t="e">
        <f aca="false">CI20</f>
        <v>#NAME?</v>
      </c>
      <c r="CT20" s="17" t="s">
        <v>15</v>
      </c>
      <c r="CU20" s="14" t="e">
        <f aca="false">CY20</f>
        <v>#NAME?</v>
      </c>
      <c r="CV20" s="25" t="s">
        <v>35</v>
      </c>
      <c r="CW20" s="23" t="e">
        <f aca="false">CE20+CP20</f>
        <v>#NAME?</v>
      </c>
      <c r="CX20" s="23" t="e">
        <f aca="false">CF20+CQ20</f>
        <v>#NAME?</v>
      </c>
      <c r="CY20" s="23" t="e">
        <f aca="false">CG20+CR20</f>
        <v>#NAME?</v>
      </c>
      <c r="CZ20" s="6" t="n">
        <v>43891</v>
      </c>
      <c r="DA20" s="14" t="e">
        <f aca="false">INDEX(#ref!,MATCH('HR '!$A20,#ref!,0))</f>
        <v>#NAME?</v>
      </c>
      <c r="DB20" s="14" t="e">
        <f aca="false">INDEX(#ref!,MATCH('HR '!$A20,#ref!,0))</f>
        <v>#NAME?</v>
      </c>
      <c r="DC20" s="14" t="e">
        <f aca="false">INDEX(#ref!,MATCH('HR '!$A20,#ref!,0))</f>
        <v>#NAME?</v>
      </c>
      <c r="DD20" s="17" t="str">
        <f aca="false">CT20</f>
        <v>Yes</v>
      </c>
      <c r="DE20" s="17" t="e">
        <f aca="false">IF(DC20&gt;99.99,"Yes","No")</f>
        <v>#NAME?</v>
      </c>
      <c r="DF20" s="14" t="str">
        <f aca="false">IF(ISNUMBER(SEARCH("Yes",DE20)),DC20,"")</f>
        <v/>
      </c>
      <c r="DG20" s="28"/>
      <c r="DH20" s="23"/>
      <c r="DI20" s="23"/>
      <c r="DJ20" s="23"/>
      <c r="DK20" s="16" t="n">
        <v>43922</v>
      </c>
      <c r="DL20" s="14" t="e">
        <f aca="false">INDEX(#ref!,MATCH('HR '!$A20,#ref!,0))</f>
        <v>#NAME?</v>
      </c>
      <c r="DM20" s="14" t="e">
        <f aca="false">INDEX(#ref!,MATCH('HR '!$A20,#ref!,0))</f>
        <v>#NAME?</v>
      </c>
      <c r="DN20" s="14" t="e">
        <f aca="false">INDEX(#ref!,MATCH('HR '!$A20,#ref!,0))</f>
        <v>#NAME?</v>
      </c>
      <c r="DO20" s="17" t="e">
        <f aca="false">DE20</f>
        <v>#NAME?</v>
      </c>
      <c r="DP20" s="17" t="e">
        <f aca="false">IF(DN20&gt;99.99,"Yes","No")</f>
        <v>#NAME?</v>
      </c>
      <c r="DQ20" s="14" t="str">
        <f aca="false">IF(ISNUMBER(SEARCH("Yes",DP20)),DN20,"")</f>
        <v/>
      </c>
      <c r="DR20" s="23"/>
      <c r="DS20" s="23"/>
      <c r="DT20" s="23"/>
      <c r="DU20" s="23"/>
      <c r="DV20" s="6" t="n">
        <v>43952</v>
      </c>
      <c r="DW20" s="14" t="e">
        <f aca="false">INDEX(#ref!,MATCH('HR '!$A20,#ref!,0))</f>
        <v>#NAME?</v>
      </c>
      <c r="DX20" s="14" t="e">
        <f aca="false">INDEX(#ref!,MATCH('HR '!$A20,#ref!,0))</f>
        <v>#NAME?</v>
      </c>
      <c r="DY20" s="14" t="e">
        <f aca="false">INDEX(#ref!,MATCH('HR '!$A20,#ref!,0))</f>
        <v>#NAME?</v>
      </c>
      <c r="DZ20" s="17" t="e">
        <f aca="false">DP20</f>
        <v>#NAME?</v>
      </c>
      <c r="EA20" s="17" t="e">
        <f aca="false">IF(DY20&gt;99.99,"Yes","No")</f>
        <v>#NAME?</v>
      </c>
      <c r="EB20" s="14" t="str">
        <f aca="false">IF(ISNUMBER(SEARCH("Yes",EA20)),DY20,"")</f>
        <v/>
      </c>
      <c r="EC20" s="23" t="s">
        <v>16</v>
      </c>
      <c r="ED20" s="26"/>
      <c r="EE20" s="26"/>
      <c r="EF20" s="26"/>
      <c r="EG20" s="16" t="n">
        <v>43983</v>
      </c>
      <c r="EH20" s="14" t="e">
        <f aca="false">INDEX(#ref!,MATCH('HR '!$A20,#ref!,0))</f>
        <v>#NAME?</v>
      </c>
      <c r="EI20" s="14" t="e">
        <f aca="false">INDEX(#ref!,MATCH('HR '!$A20,#ref!,0))</f>
        <v>#NAME?</v>
      </c>
      <c r="EJ20" s="14" t="e">
        <f aca="false">INDEX(#ref!,MATCH('HR '!$A20,#ref!,0))</f>
        <v>#NAME?</v>
      </c>
      <c r="EK20" s="17" t="e">
        <f aca="false">EA20</f>
        <v>#NAME?</v>
      </c>
      <c r="EL20" s="17" t="e">
        <f aca="false">IF(EJ20&gt;99.99,"Yes","No")</f>
        <v>#NAME?</v>
      </c>
      <c r="EM20" s="14"/>
      <c r="EN20" s="29" t="s">
        <v>20</v>
      </c>
      <c r="EO20" s="26" t="e">
        <f aca="false">DW20+EH20</f>
        <v>#NAME?</v>
      </c>
      <c r="EP20" s="26" t="e">
        <f aca="false">DX20+EI20</f>
        <v>#NAME?</v>
      </c>
      <c r="EQ20" s="26" t="e">
        <f aca="false">DY20+EJ20</f>
        <v>#NAME?</v>
      </c>
      <c r="ER20" s="6" t="n">
        <v>44013</v>
      </c>
      <c r="ES20" s="14" t="e">
        <f aca="false">INDEX(#ref!,MATCH('HR '!$A20,#ref!,0))</f>
        <v>#NAME?</v>
      </c>
      <c r="ET20" s="14" t="e">
        <f aca="false">INDEX(#ref!,MATCH('HR '!$A20,#ref!,0))</f>
        <v>#NAME?</v>
      </c>
      <c r="EU20" s="14" t="e">
        <f aca="false">INDEX(#ref!,MATCH('HR '!$A20,#ref!,0))</f>
        <v>#NAME?</v>
      </c>
      <c r="EV20" s="17" t="e">
        <f aca="false">EL20</f>
        <v>#NAME?</v>
      </c>
      <c r="EW20" s="17" t="e">
        <f aca="false">IF(EU20&gt;99.99,"Yes","No")</f>
        <v>#NAME?</v>
      </c>
      <c r="EX20" s="14" t="str">
        <f aca="false">IF(ISNUMBER(SEARCH("Yes",EW20)),EU20,"")</f>
        <v/>
      </c>
      <c r="EY20" s="23"/>
      <c r="EZ20" s="26"/>
      <c r="FA20" s="26"/>
      <c r="FB20" s="26"/>
      <c r="FC20" s="16" t="e">
        <f aca="false">FC19</f>
        <v>#NAME?</v>
      </c>
      <c r="FD20" s="14" t="e">
        <f aca="false">INDEX(#ref!,MATCH('HR '!$A20,#ref!,0))</f>
        <v>#NAME?</v>
      </c>
      <c r="FE20" s="14" t="e">
        <f aca="false">INDEX(#ref!,MATCH('HR '!$A20,#ref!,0))</f>
        <v>#NAME?</v>
      </c>
      <c r="FF20" s="14" t="e">
        <f aca="false">INDEX(#ref!,MATCH('HR '!$A20,#ref!,0))</f>
        <v>#NAME?</v>
      </c>
      <c r="FG20" s="17" t="e">
        <f aca="false">EW20</f>
        <v>#NAME?</v>
      </c>
      <c r="FH20" s="17" t="e">
        <f aca="false">IF(FF20&gt;99.99,"Yes","No")</f>
        <v>#NAME?</v>
      </c>
      <c r="FI20" s="14" t="str">
        <f aca="false">IF(ISNUMBER(SEARCH("Yes",FH20)),FF20,"")</f>
        <v/>
      </c>
      <c r="FJ20" s="23"/>
      <c r="FK20" s="26"/>
      <c r="FL20" s="26"/>
      <c r="FM20" s="26"/>
      <c r="FN20" s="6" t="e">
        <f aca="false">FN19</f>
        <v>#NAME?</v>
      </c>
      <c r="FO20" s="14" t="e">
        <f aca="false">INDEX(#ref!,MATCH('HR '!$A20,#ref!,0))</f>
        <v>#NAME?</v>
      </c>
      <c r="FP20" s="14" t="e">
        <f aca="false">INDEX(#ref!,MATCH('HR '!$A20,#ref!,0))</f>
        <v>#NAME?</v>
      </c>
      <c r="FQ20" s="14" t="e">
        <f aca="false">INDEX(#ref!,MATCH('HR '!$A20,#ref!,0))</f>
        <v>#NAME?</v>
      </c>
      <c r="FR20" s="17" t="e">
        <f aca="false">FH20</f>
        <v>#NAME?</v>
      </c>
      <c r="FS20" s="31" t="e">
        <f aca="false">IF(FQ20&gt;99.99,"Yes","No")</f>
        <v>#NAME?</v>
      </c>
      <c r="FT20" s="14" t="str">
        <f aca="false">IF(ISNUMBER(SEARCH("Yes",FS20)),FQ20,"")</f>
        <v/>
      </c>
      <c r="FU20" s="23"/>
      <c r="FV20" s="26"/>
      <c r="FW20" s="26"/>
      <c r="FX20" s="26"/>
      <c r="FY20" s="33" t="n">
        <f aca="false">FY19</f>
        <v>44287</v>
      </c>
      <c r="FZ20" s="14" t="e">
        <f aca="false">INDEX(#ref!,MATCH('HR '!$A20,#ref!,0))</f>
        <v>#NAME?</v>
      </c>
      <c r="GA20" s="14" t="e">
        <f aca="false">INDEX(#ref!,MATCH('HR '!$A20,#ref!,0))</f>
        <v>#NAME?</v>
      </c>
      <c r="GB20" s="14" t="e">
        <f aca="false">INDEX(#ref!,MATCH('HR '!$A20,#ref!,0))</f>
        <v>#NAME?</v>
      </c>
      <c r="GC20" s="17" t="e">
        <f aca="false">#ref!</f>
        <v>#NAME?</v>
      </c>
      <c r="GD20" s="31" t="e">
        <f aca="false">IF(GB20&gt;99.99,"Yes","No")</f>
        <v>#NAME?</v>
      </c>
      <c r="GE20" s="14" t="str">
        <f aca="false">IF(ISNUMBER(SEARCH("Yes",GD20)),GB20,"")</f>
        <v/>
      </c>
      <c r="GF20" s="40"/>
      <c r="GG20" s="26"/>
      <c r="GH20" s="26"/>
      <c r="GI20" s="26"/>
      <c r="GJ20" s="36" t="n">
        <f aca="false">GJ19</f>
        <v>44317</v>
      </c>
      <c r="GK20" s="14" t="n">
        <f aca="false">INDEX('[1]May 2021'!$L$2:$L$29,MATCH('HR '!$A20,'[1]May 2021'!$A$2:$A$29,0))</f>
        <v>76.38829011</v>
      </c>
      <c r="GL20" s="14" t="n">
        <f aca="false">INDEX('[1]May 2021'!$M$2:$M$29,MATCH('HR '!$A20,'[1]May 2021'!$A$2:$A$29,0))</f>
        <v>632.8773</v>
      </c>
      <c r="GM20" s="14" t="n">
        <f aca="false">INDEX('[1]May 2021'!$N$2:$N$29,MATCH('HR '!$A20,'[1]May 2021'!$A$2:$A$29,0))</f>
        <v>709.26559011</v>
      </c>
      <c r="GN20" s="17" t="s">
        <v>17</v>
      </c>
      <c r="GO20" s="31" t="str">
        <f aca="false">IF(GM20&gt;99.99,"Yes","No")</f>
        <v>Yes</v>
      </c>
      <c r="GP20" s="14" t="n">
        <f aca="false">IF(ISNUMBER(SEARCH("Yes",GO20)),GM20,"")</f>
        <v>709.26559011</v>
      </c>
      <c r="GQ20" s="40"/>
      <c r="GR20" s="26"/>
      <c r="GS20" s="26"/>
      <c r="GT20" s="26"/>
    </row>
    <row r="21" customFormat="false" ht="13.5" hidden="true" customHeight="false" outlineLevel="0" collapsed="false">
      <c r="FI21" s="74" t="e">
        <f aca="false">SUM(FI4:FI20)+SUM(FM3:FM20)</f>
        <v>#NAME?</v>
      </c>
      <c r="FZ21" s="74"/>
      <c r="GA21" s="74"/>
      <c r="GB21" s="74"/>
      <c r="GK21" s="74"/>
      <c r="GL21" s="74"/>
      <c r="GM21" s="74"/>
    </row>
    <row r="22" customFormat="false" ht="13.5" hidden="true" customHeight="false" outlineLevel="0" collapsed="false">
      <c r="FN22" s="6" t="n">
        <f aca="false">FN$3</f>
        <v>44075</v>
      </c>
      <c r="FO22" s="9" t="s">
        <v>4</v>
      </c>
      <c r="FP22" s="9" t="s">
        <v>5</v>
      </c>
      <c r="FQ22" s="9" t="s">
        <v>6</v>
      </c>
      <c r="FT22" s="9" t="s">
        <v>9</v>
      </c>
    </row>
    <row r="23" customFormat="false" ht="13.5" hidden="true" customHeight="false" outlineLevel="0" collapsed="false">
      <c r="C23" s="6" t="n">
        <v>43586</v>
      </c>
      <c r="D23" s="6" t="s">
        <v>4</v>
      </c>
      <c r="E23" s="6" t="s">
        <v>5</v>
      </c>
      <c r="F23" s="6" t="s">
        <v>6</v>
      </c>
      <c r="I23" s="9" t="s">
        <v>9</v>
      </c>
      <c r="K23" s="16" t="n">
        <v>43617</v>
      </c>
      <c r="L23" s="7" t="s">
        <v>4</v>
      </c>
      <c r="M23" s="7" t="s">
        <v>5</v>
      </c>
      <c r="N23" s="7" t="s">
        <v>6</v>
      </c>
      <c r="Q23" s="7" t="s">
        <v>9</v>
      </c>
      <c r="S23" s="6" t="n">
        <v>43647</v>
      </c>
      <c r="T23" s="6" t="s">
        <v>4</v>
      </c>
      <c r="U23" s="6" t="s">
        <v>5</v>
      </c>
      <c r="V23" s="6" t="s">
        <v>6</v>
      </c>
      <c r="Y23" s="6" t="s">
        <v>9</v>
      </c>
      <c r="AA23" s="16" t="n">
        <f aca="false">AA3</f>
        <v>43678</v>
      </c>
      <c r="AB23" s="7" t="s">
        <v>4</v>
      </c>
      <c r="AC23" s="7" t="s">
        <v>5</v>
      </c>
      <c r="AD23" s="7" t="s">
        <v>6</v>
      </c>
      <c r="AG23" s="7" t="s">
        <v>9</v>
      </c>
      <c r="AL23" s="6" t="n">
        <f aca="false">AL3</f>
        <v>43709</v>
      </c>
      <c r="AM23" s="6" t="s">
        <v>4</v>
      </c>
      <c r="AN23" s="6" t="s">
        <v>5</v>
      </c>
      <c r="AO23" s="6" t="s">
        <v>6</v>
      </c>
      <c r="AR23" s="9" t="s">
        <v>9</v>
      </c>
      <c r="AW23" s="16" t="n">
        <f aca="false">AW3</f>
        <v>43739</v>
      </c>
      <c r="AX23" s="7" t="s">
        <v>4</v>
      </c>
      <c r="AY23" s="7" t="s">
        <v>5</v>
      </c>
      <c r="AZ23" s="7" t="s">
        <v>6</v>
      </c>
      <c r="BC23" s="7" t="s">
        <v>9</v>
      </c>
      <c r="BH23" s="6" t="n">
        <f aca="false">BH3</f>
        <v>43770</v>
      </c>
      <c r="BI23" s="6" t="s">
        <v>4</v>
      </c>
      <c r="BJ23" s="6" t="s">
        <v>5</v>
      </c>
      <c r="BK23" s="6" t="s">
        <v>6</v>
      </c>
      <c r="BN23" s="9" t="s">
        <v>9</v>
      </c>
      <c r="BS23" s="16" t="n">
        <f aca="false">BS3</f>
        <v>43800</v>
      </c>
      <c r="BT23" s="7" t="s">
        <v>4</v>
      </c>
      <c r="BU23" s="7" t="s">
        <v>5</v>
      </c>
      <c r="BV23" s="7" t="s">
        <v>6</v>
      </c>
      <c r="BY23" s="7" t="s">
        <v>9</v>
      </c>
      <c r="CD23" s="6" t="n">
        <f aca="false">CD3</f>
        <v>43831</v>
      </c>
      <c r="CE23" s="6" t="s">
        <v>4</v>
      </c>
      <c r="CF23" s="6" t="s">
        <v>5</v>
      </c>
      <c r="CG23" s="6" t="s">
        <v>6</v>
      </c>
      <c r="CJ23" s="9" t="s">
        <v>9</v>
      </c>
      <c r="CO23" s="16" t="n">
        <f aca="false">CO3</f>
        <v>43862</v>
      </c>
      <c r="CP23" s="7" t="s">
        <v>4</v>
      </c>
      <c r="CQ23" s="7" t="s">
        <v>5</v>
      </c>
      <c r="CR23" s="7" t="s">
        <v>6</v>
      </c>
      <c r="CU23" s="7" t="s">
        <v>9</v>
      </c>
      <c r="CZ23" s="6" t="n">
        <f aca="false">CZ3</f>
        <v>43891</v>
      </c>
      <c r="DA23" s="9" t="s">
        <v>4</v>
      </c>
      <c r="DB23" s="9" t="s">
        <v>5</v>
      </c>
      <c r="DC23" s="9" t="s">
        <v>6</v>
      </c>
      <c r="DF23" s="9" t="s">
        <v>9</v>
      </c>
      <c r="DK23" s="16" t="n">
        <f aca="false">DK3</f>
        <v>43922</v>
      </c>
      <c r="DL23" s="7" t="s">
        <v>4</v>
      </c>
      <c r="DM23" s="7" t="s">
        <v>5</v>
      </c>
      <c r="DN23" s="7" t="s">
        <v>6</v>
      </c>
      <c r="DQ23" s="7" t="s">
        <v>9</v>
      </c>
      <c r="DV23" s="6" t="n">
        <f aca="false">DV3</f>
        <v>43952</v>
      </c>
      <c r="DW23" s="9" t="s">
        <v>4</v>
      </c>
      <c r="DX23" s="9" t="s">
        <v>5</v>
      </c>
      <c r="DY23" s="9" t="s">
        <v>6</v>
      </c>
      <c r="EB23" s="9" t="s">
        <v>9</v>
      </c>
      <c r="EG23" s="16" t="n">
        <f aca="false">EG3</f>
        <v>43983</v>
      </c>
      <c r="EH23" s="7" t="s">
        <v>4</v>
      </c>
      <c r="EI23" s="7" t="s">
        <v>5</v>
      </c>
      <c r="EJ23" s="7" t="s">
        <v>6</v>
      </c>
      <c r="EM23" s="7" t="s">
        <v>9</v>
      </c>
      <c r="ER23" s="6" t="n">
        <f aca="false">ER3</f>
        <v>44013</v>
      </c>
      <c r="ES23" s="9" t="s">
        <v>4</v>
      </c>
      <c r="ET23" s="9" t="s">
        <v>5</v>
      </c>
      <c r="EU23" s="9" t="s">
        <v>6</v>
      </c>
      <c r="EX23" s="9" t="s">
        <v>9</v>
      </c>
      <c r="FC23" s="16" t="n">
        <f aca="false">FC3</f>
        <v>44044</v>
      </c>
      <c r="FD23" s="7" t="s">
        <v>4</v>
      </c>
      <c r="FE23" s="7" t="s">
        <v>5</v>
      </c>
      <c r="FF23" s="7" t="s">
        <v>6</v>
      </c>
      <c r="FI23" s="7" t="s">
        <v>9</v>
      </c>
      <c r="FJ23" s="75" t="s">
        <v>43</v>
      </c>
      <c r="FN23" s="47"/>
      <c r="FO23" s="26" t="e">
        <f aca="false">SUMIF(FO3:FO20,"&lt;&gt;#N/A")</f>
        <v>#NAME?</v>
      </c>
      <c r="FP23" s="26" t="e">
        <f aca="false">SUMIF(FP3:FP20,"&lt;&gt;#N/A")</f>
        <v>#NAME?</v>
      </c>
      <c r="FQ23" s="14" t="e">
        <f aca="false">SUMIF(FQ3:FQ20,"&lt;&gt;#N/A")</f>
        <v>#NAME?</v>
      </c>
      <c r="FT23" s="14" t="e">
        <f aca="false">SUMIF(FT3:FT20,"&lt;&gt;#N/A")+SUM(FX3:FX20)</f>
        <v>#NAME?</v>
      </c>
    </row>
    <row r="24" customFormat="false" ht="13.5" hidden="true" customHeight="false" outlineLevel="0" collapsed="false">
      <c r="C24" s="47"/>
      <c r="D24" s="26" t="e">
        <f aca="false">SUM(D3:D20)</f>
        <v>#NAME?</v>
      </c>
      <c r="E24" s="26" t="e">
        <f aca="false">SUM(E3:E20)</f>
        <v>#NAME?</v>
      </c>
      <c r="F24" s="26" t="e">
        <f aca="false">SUM(F3:F20)</f>
        <v>#NAME?</v>
      </c>
      <c r="I24" s="14" t="e">
        <f aca="false">SUM(I3:I20)</f>
        <v>#NAME?</v>
      </c>
      <c r="K24" s="47"/>
      <c r="L24" s="26" t="e">
        <f aca="false">SUM(L3:L20)</f>
        <v>#NAME?</v>
      </c>
      <c r="M24" s="26" t="e">
        <f aca="false">SUM(M3:M20)</f>
        <v>#NAME?</v>
      </c>
      <c r="N24" s="26" t="e">
        <f aca="false">SUM(N3:N20)</f>
        <v>#NAME?</v>
      </c>
      <c r="O24" s="12"/>
      <c r="P24" s="12"/>
      <c r="Q24" s="14" t="n">
        <f aca="false">SUM(Q3:Q20)</f>
        <v>0</v>
      </c>
      <c r="R24" s="12"/>
      <c r="S24" s="47"/>
      <c r="T24" s="26" t="e">
        <f aca="false">SUMIF(T3:T20,"&lt;&gt;#N/A")</f>
        <v>#NAME?</v>
      </c>
      <c r="U24" s="26" t="e">
        <f aca="false">SUMIF(U3:U20,"&lt;&gt;#N/A")</f>
        <v>#NAME?</v>
      </c>
      <c r="V24" s="26" t="e">
        <f aca="false">SUMIF(V3:V20,"&lt;&gt;#N/A")</f>
        <v>#NAME?</v>
      </c>
      <c r="Y24" s="14" t="e">
        <f aca="false">SUM(Y3:Y20)</f>
        <v>#NAME?</v>
      </c>
      <c r="AA24" s="47"/>
      <c r="AB24" s="26" t="e">
        <f aca="false">SUMIF(AB3:AB20,"&lt;&gt;#N/A")</f>
        <v>#NAME?</v>
      </c>
      <c r="AC24" s="26" t="e">
        <f aca="false">SUMIF(AC3:AC20,"&lt;&gt;#N/A")</f>
        <v>#NAME?</v>
      </c>
      <c r="AD24" s="26" t="e">
        <f aca="false">SUMIF(AD3:AD20,"&lt;&gt;#N/A")</f>
        <v>#NAME?</v>
      </c>
      <c r="AG24" s="14" t="e">
        <f aca="false">SUM(AG3:AG20)</f>
        <v>#NAME?</v>
      </c>
      <c r="AL24" s="47"/>
      <c r="AM24" s="26" t="e">
        <f aca="false">SUMIF(AM3:AM20,"&lt;&gt;#N/A")</f>
        <v>#NAME?</v>
      </c>
      <c r="AN24" s="26" t="e">
        <f aca="false">SUMIF(AN3:AN20,"&lt;&gt;#N/A")</f>
        <v>#NAME?</v>
      </c>
      <c r="AO24" s="26" t="e">
        <f aca="false">SUMIF(AO3:AO20,"&lt;&gt;#N/A")</f>
        <v>#NAME?</v>
      </c>
      <c r="AR24" s="14" t="n">
        <f aca="false">SUM(AR3:AR20)</f>
        <v>0</v>
      </c>
      <c r="AW24" s="47"/>
      <c r="AX24" s="26" t="e">
        <f aca="false">SUMIF(AX3:AX20,"&lt;&gt;#N/A")</f>
        <v>#NAME?</v>
      </c>
      <c r="AY24" s="26" t="e">
        <f aca="false">SUMIF(AY3:AY20,"&lt;&gt;#N/A")</f>
        <v>#NAME?</v>
      </c>
      <c r="AZ24" s="26" t="e">
        <f aca="false">SUMIF(AZ3:AZ20,"&lt;&gt;#N/A")</f>
        <v>#NAME?</v>
      </c>
      <c r="BC24" s="14" t="n">
        <f aca="false">SUM(BC3:BC20)</f>
        <v>188.06735668</v>
      </c>
      <c r="BH24" s="47"/>
      <c r="BI24" s="26" t="e">
        <f aca="false">SUMIF(BI3:BI20,"&lt;&gt;#N/A")</f>
        <v>#NAME?</v>
      </c>
      <c r="BJ24" s="26" t="e">
        <f aca="false">SUMIF(BJ3:BJ20,"&lt;&gt;#N/A")</f>
        <v>#NAME?</v>
      </c>
      <c r="BK24" s="26" t="e">
        <f aca="false">SUMIF(BK3:BK20,"&lt;&gt;#N/A")</f>
        <v>#NAME?</v>
      </c>
      <c r="BN24" s="14" t="e">
        <f aca="false">SUM(BN3:BN20)</f>
        <v>#NAME?</v>
      </c>
      <c r="BS24" s="47"/>
      <c r="BT24" s="26" t="e">
        <f aca="false">SUMIF(BT3:BT20,"&lt;&gt;#N/A")</f>
        <v>#NAME?</v>
      </c>
      <c r="BU24" s="26" t="e">
        <f aca="false">SUMIF(BU3:BU20,"&lt;&gt;#N/A")</f>
        <v>#NAME?</v>
      </c>
      <c r="BV24" s="26" t="e">
        <f aca="false">SUMIF(BV3:BV20,"&lt;&gt;#N/A")</f>
        <v>#NAME?</v>
      </c>
      <c r="BY24" s="14" t="n">
        <f aca="false">SUM(BY3:BY20)</f>
        <v>0</v>
      </c>
      <c r="CD24" s="47"/>
      <c r="CE24" s="26" t="e">
        <f aca="false">SUMIF(CE3:CE20,"&lt;&gt;#N/A")</f>
        <v>#NAME?</v>
      </c>
      <c r="CF24" s="26" t="e">
        <f aca="false">SUMIF(CF3:CF20,"&lt;&gt;#N/A")</f>
        <v>#NAME?</v>
      </c>
      <c r="CG24" s="26" t="e">
        <f aca="false">SUMIF(CG3:CG20,"&lt;&gt;#N/A")</f>
        <v>#NAME?</v>
      </c>
      <c r="CJ24" s="14" t="n">
        <f aca="false">SUM(CJ3:CJ20)</f>
        <v>523.86837514</v>
      </c>
      <c r="CO24" s="47"/>
      <c r="CP24" s="26" t="e">
        <f aca="false">SUMIF(CP3:CP20,"&lt;&gt;#N/A")</f>
        <v>#NAME?</v>
      </c>
      <c r="CQ24" s="26" t="e">
        <f aca="false">SUMIF(CQ3:CQ20,"&lt;&gt;#N/A")</f>
        <v>#NAME?</v>
      </c>
      <c r="CR24" s="14" t="e">
        <f aca="false">SUMIF(CR2:CR20,"&lt;&gt;#N/A")</f>
        <v>#NAME?</v>
      </c>
      <c r="CU24" s="14" t="e">
        <f aca="false">SUMIF(CU2:CU20,"&lt;&gt;#N/A")</f>
        <v>#NAME?</v>
      </c>
      <c r="CZ24" s="47"/>
      <c r="DA24" s="26" t="e">
        <f aca="false">SUMIF(DA3:DA20,"&lt;&gt;#N/A")</f>
        <v>#NAME?</v>
      </c>
      <c r="DB24" s="26" t="e">
        <f aca="false">SUMIF(DB3:DB20,"&lt;&gt;#N/A")</f>
        <v>#NAME?</v>
      </c>
      <c r="DC24" s="14" t="e">
        <f aca="false">SUMIF(DC2:DC20,"&lt;&gt;#N/A")</f>
        <v>#NAME?</v>
      </c>
      <c r="DF24" s="14" t="e">
        <f aca="false">SUMIF(DF2:DF20,"&lt;&gt;#N/A")</f>
        <v>#NAME?</v>
      </c>
      <c r="DK24" s="47"/>
      <c r="DL24" s="26" t="e">
        <f aca="false">SUMIF(DL3:DL20,"&lt;&gt;#N/A")</f>
        <v>#NAME?</v>
      </c>
      <c r="DM24" s="26" t="e">
        <f aca="false">SUMIF(DM3:DM20,"&lt;&gt;#N/A")</f>
        <v>#NAME?</v>
      </c>
      <c r="DN24" s="14" t="e">
        <f aca="false">SUMIF(DN2:DN20,"&lt;&gt;#N/A")</f>
        <v>#NAME?</v>
      </c>
      <c r="DQ24" s="14" t="e">
        <f aca="false">SUMIF(DQ2:DQ20,"&lt;&gt;#N/A")+SUM(DU3:DU20)</f>
        <v>#NAME?</v>
      </c>
      <c r="DV24" s="47"/>
      <c r="DW24" s="26" t="e">
        <f aca="false">SUMIF(DW3:DW20,"&lt;&gt;#N/A")</f>
        <v>#NAME?</v>
      </c>
      <c r="DX24" s="26" t="e">
        <f aca="false">SUMIF(DX3:DX20,"&lt;&gt;#N/A")</f>
        <v>#NAME?</v>
      </c>
      <c r="DY24" s="14" t="e">
        <f aca="false">SUMIF(DY2:DY20,"&lt;&gt;#N/A")</f>
        <v>#NAME?</v>
      </c>
      <c r="EB24" s="14" t="e">
        <f aca="false">SUMIF(EB3:EB20,"&lt;&gt;#N/A")+SUM(EF3:EF20)</f>
        <v>#NAME?</v>
      </c>
      <c r="EG24" s="47"/>
      <c r="EH24" s="26" t="e">
        <f aca="false">SUMIF(EH3:EH20,"&lt;&gt;#N/A")</f>
        <v>#NAME?</v>
      </c>
      <c r="EI24" s="26" t="e">
        <f aca="false">SUMIF(EI3:EI20,"&lt;&gt;#N/A")</f>
        <v>#NAME?</v>
      </c>
      <c r="EJ24" s="14" t="e">
        <f aca="false">SUMIF(EJ2:EJ20,"&lt;&gt;#N/A")</f>
        <v>#NAME?</v>
      </c>
      <c r="EM24" s="14" t="e">
        <f aca="false">SUMIF(EM3:EM20,"&lt;&gt;#N/A")+SUM(EQ3:EQ20)</f>
        <v>#NAME?</v>
      </c>
      <c r="ER24" s="47"/>
      <c r="ES24" s="26" t="e">
        <f aca="false">SUMIF(ES3:ES20,"&lt;&gt;#N/A")</f>
        <v>#NAME?</v>
      </c>
      <c r="ET24" s="26" t="e">
        <f aca="false">SUMIF(ET3:ET20,"&lt;&gt;#N/A")</f>
        <v>#NAME?</v>
      </c>
      <c r="EU24" s="14" t="e">
        <f aca="false">SUMIF(EU2:EU20,"&lt;&gt;#N/A")</f>
        <v>#NAME?</v>
      </c>
      <c r="EX24" s="14" t="e">
        <f aca="false">SUMIF(EX3:EX20,"&lt;&gt;#N/A")+SUM(FB3:FB20)</f>
        <v>#NAME?</v>
      </c>
      <c r="FC24" s="47"/>
      <c r="FD24" s="26" t="e">
        <f aca="false">SUMIF(FD3:FD20,"&lt;&gt;#N/A")</f>
        <v>#NAME?</v>
      </c>
      <c r="FE24" s="26" t="e">
        <f aca="false">SUMIF(FE3:FE20,"&lt;&gt;#N/A")</f>
        <v>#NAME?</v>
      </c>
      <c r="FF24" s="14" t="e">
        <f aca="false">SUMIF(FF2:FF20,"&lt;&gt;#N/A")</f>
        <v>#NAME?</v>
      </c>
      <c r="FI24" s="14" t="e">
        <f aca="false">SUMIF(FI3:FI20,"&lt;&gt;#N/A")+SUM(FM3:FM20)</f>
        <v>#NAME?</v>
      </c>
    </row>
    <row r="25" customFormat="false" ht="13.5" hidden="true" customHeight="false" outlineLevel="0" collapsed="false">
      <c r="X25" s="74"/>
      <c r="BQ25" s="74" t="e">
        <f aca="false">100-BV14</f>
        <v>#NAME?</v>
      </c>
      <c r="CM25" s="74"/>
    </row>
    <row r="26" customFormat="false" ht="13.5" hidden="false" customHeight="false" outlineLevel="0" collapsed="false">
      <c r="AF26" s="74"/>
    </row>
    <row r="27" customFormat="false" ht="14.9" hidden="false" customHeight="false" outlineLevel="0" collapsed="false">
      <c r="FY27" s="33" t="n">
        <f aca="false">FY$3</f>
        <v>44287</v>
      </c>
      <c r="FZ27" s="33" t="s">
        <v>4</v>
      </c>
      <c r="GA27" s="33" t="s">
        <v>5</v>
      </c>
      <c r="GB27" s="33" t="s">
        <v>6</v>
      </c>
      <c r="GC27" s="33" t="s">
        <v>0</v>
      </c>
      <c r="GE27" s="33" t="s">
        <v>9</v>
      </c>
      <c r="GJ27" s="36" t="n">
        <f aca="false">GJ$3</f>
        <v>44317</v>
      </c>
      <c r="GK27" s="36" t="s">
        <v>4</v>
      </c>
      <c r="GL27" s="36" t="s">
        <v>5</v>
      </c>
      <c r="GM27" s="36" t="s">
        <v>6</v>
      </c>
      <c r="GN27" s="36" t="s">
        <v>0</v>
      </c>
    </row>
    <row r="28" customFormat="false" ht="14.9" hidden="false" customHeight="false" outlineLevel="0" collapsed="false">
      <c r="FF28" s="12" t="s">
        <v>44</v>
      </c>
      <c r="FG28" s="1" t="s">
        <v>45</v>
      </c>
      <c r="FY28" s="47"/>
      <c r="FZ28" s="26" t="e">
        <f aca="false">SUMIFS(FZ3:FZ22,FZ3:FZ22,"&lt;&gt;#N/A",$GD$3:$GD$22,"yes")</f>
        <v>#NAME?</v>
      </c>
      <c r="GA28" s="26" t="e">
        <f aca="false">SUMIFS(GA3:GA22,GA3:GA22,"&lt;&gt;#N/A",$GD$3:$GD$22,"yes")</f>
        <v>#NAME?</v>
      </c>
      <c r="GB28" s="26" t="e">
        <f aca="false">SUMIFS(GB3:GB22,GB3:GB22,"&lt;&gt;#N/A",$GD$3:$GD$22,"yes")</f>
        <v>#NAME?</v>
      </c>
      <c r="GC28" s="26" t="e">
        <f aca="false">SUM(GI3:GI20)</f>
        <v>#NAME?</v>
      </c>
      <c r="GE28" s="14" t="e">
        <f aca="false">SUMIF(GE3:GE20,"&lt;&gt;#N/A")+SUM(GI3:GI20)</f>
        <v>#NAME?</v>
      </c>
      <c r="GJ28" s="47"/>
      <c r="GK28" s="76" t="n">
        <f aca="false">SUMIFS(GK3:GK23,GK3:GK23,"&lt;&gt;#N/A",GO3:GO23,"yes")</f>
        <v>603.73639095</v>
      </c>
      <c r="GL28" s="26" t="n">
        <f aca="false">SUMIFS(GL3:GL23,GL3:GL23,"&lt;&gt;#N/A",GO3:GO23,"yes")</f>
        <v>5042.0085</v>
      </c>
      <c r="GM28" s="26" t="n">
        <f aca="false">SUMIFS(GM3:GM23,GM3:GM23,"&lt;&gt;#N/A",GO3:GO23,"yes")</f>
        <v>5645.74489095</v>
      </c>
      <c r="GN28" s="26" t="e">
        <f aca="false">SUM(GT3:GT23)</f>
        <v>#NAME?</v>
      </c>
      <c r="GP28" s="36" t="s">
        <v>9</v>
      </c>
    </row>
    <row r="29" customFormat="false" ht="13.5" hidden="false" customHeight="false" outlineLevel="0" collapsed="false">
      <c r="FE29" s="55" t="n">
        <v>55.66149299</v>
      </c>
      <c r="FF29" s="55" t="n">
        <v>461.1557</v>
      </c>
      <c r="FG29" s="55" t="n">
        <v>516.81719299</v>
      </c>
      <c r="GJ29" s="77" t="s">
        <v>46</v>
      </c>
      <c r="GK29" s="26" t="n">
        <f aca="false">SUMIFS(GK3:GK21,$GO$3:$GO$21,"yes")+SUMIFS(GR3:GR21,$GO$3:$GO$21,"yes",GR3:GR21,"&lt;&gt;#NAME?")</f>
        <v>692.71486185</v>
      </c>
      <c r="GL29" s="26" t="e">
        <f aca="false">SUMIFS(GL3:GL21,GL3:GL21,"&lt;&gt;#N/A",$GO$3:$GO$21,"yes",GS3:GS21,"=")+SUMIFS(GS3:GS21,GO3:GO21,"Yes")</f>
        <v>#NAME?</v>
      </c>
      <c r="GM29" s="26" t="e">
        <f aca="false">SUMIFS(GM3:GM21,GM3:GM21,"&lt;&gt;#N/A",$GO$3:$GO$21,"yes",GS3:GS21,"=")+SUMIFS(GT3:GT21,GO3:GO21,"Yes")</f>
        <v>#NAME?</v>
      </c>
      <c r="GP29" s="14" t="e">
        <f aca="false">SUMIF(GP3:GP23,"&lt;&gt;#N/A")+SUM(GT3:GT23)</f>
        <v>#NAME?</v>
      </c>
    </row>
    <row r="30" customFormat="false" ht="13.5" hidden="false" customHeight="false" outlineLevel="0" collapsed="false">
      <c r="FQ30" s="14"/>
    </row>
    <row r="31" customFormat="false" ht="13.5" hidden="false" customHeight="false" outlineLevel="0" collapsed="false">
      <c r="FF31" s="1" t="s">
        <v>45</v>
      </c>
      <c r="FQ31" s="14"/>
    </row>
    <row r="32" customFormat="false" ht="13.5" hidden="false" customHeight="false" outlineLevel="0" collapsed="false">
      <c r="FF32" s="1" t="s">
        <v>47</v>
      </c>
    </row>
    <row r="33" customFormat="false" ht="13.5" hidden="false" customHeight="false" outlineLevel="0" collapsed="false">
      <c r="FE33" s="78" t="n">
        <v>32.39607312</v>
      </c>
      <c r="FF33" s="78" t="n">
        <v>278.4016</v>
      </c>
      <c r="FG33" s="78" t="n">
        <v>310.79767312</v>
      </c>
      <c r="FH33" s="78" t="n">
        <f aca="false">FG29-FG33</f>
        <v>206.01951987</v>
      </c>
    </row>
    <row r="34" customFormat="false" ht="13.5" hidden="false" customHeight="false" outlineLevel="0" collapsed="false">
      <c r="FF34" s="1" t="s">
        <v>48</v>
      </c>
    </row>
    <row r="35" customFormat="false" ht="13.5" hidden="false" customHeight="false" outlineLevel="0" collapsed="false">
      <c r="FE35" s="78" t="n">
        <v>33.6275028</v>
      </c>
      <c r="FF35" s="78" t="n">
        <v>278.604</v>
      </c>
      <c r="FG35" s="78" t="n">
        <v>312.2315028</v>
      </c>
    </row>
    <row r="36" customFormat="false" ht="13.5" hidden="false" customHeight="false" outlineLevel="0" collapsed="false">
      <c r="FG36" s="74" t="n">
        <f aca="false">FG35-FH33</f>
        <v>106.21198293</v>
      </c>
    </row>
    <row r="37" customFormat="false" ht="13.5" hidden="false" customHeight="false" outlineLevel="0" collapsed="false">
      <c r="FE37" s="74" t="n">
        <f aca="false">SUM(FE33:FE35)</f>
        <v>66.02357592</v>
      </c>
      <c r="FF37" s="74" t="n">
        <f aca="false">SUM(FF33:FF35)</f>
        <v>557.0056</v>
      </c>
      <c r="FG37" s="74" t="n">
        <f aca="false">SUM(FG33:FG35)</f>
        <v>623.02917592</v>
      </c>
      <c r="FH37" s="78" t="n">
        <f aca="false">FG37-FG29</f>
        <v>106.21198293</v>
      </c>
    </row>
  </sheetData>
  <autoFilter ref="A2:GT25">
    <filterColumn colId="196">
      <filters>
        <filter val="Yes"/>
      </filters>
    </filterColumn>
  </autoFilter>
  <mergeCells count="16">
    <mergeCell ref="AI1:AK1"/>
    <mergeCell ref="AT1:AV1"/>
    <mergeCell ref="BE1:BG1"/>
    <mergeCell ref="BP1:BR1"/>
    <mergeCell ref="CA1:CC1"/>
    <mergeCell ref="CL1:CN1"/>
    <mergeCell ref="CW1:CY1"/>
    <mergeCell ref="DH1:DJ1"/>
    <mergeCell ref="DS1:DU1"/>
    <mergeCell ref="ED1:EF1"/>
    <mergeCell ref="EO1:EQ1"/>
    <mergeCell ref="EZ1:FB1"/>
    <mergeCell ref="FK1:FM1"/>
    <mergeCell ref="FV1:FX1"/>
    <mergeCell ref="GG1:GI1"/>
    <mergeCell ref="GR1:GT1"/>
  </mergeCells>
  <conditionalFormatting sqref="GQ18">
    <cfRule type="containsText" priority="2" operator="containsText" aboveAverage="0" equalAverage="0" bottom="0" percent="0" rank="0" text="Month " dxfId="9">
      <formula>NOT(ISERROR(SEARCH("Month ",GQ18)))</formula>
    </cfRule>
  </conditionalFormatting>
  <conditionalFormatting sqref="GQ16">
    <cfRule type="containsText" priority="3" operator="containsText" aboveAverage="0" equalAverage="0" bottom="0" percent="0" rank="0" text="Month " dxfId="9">
      <formula>NOT(ISERROR(SEARCH("Month ",GQ16)))</formula>
    </cfRule>
  </conditionalFormatting>
  <conditionalFormatting sqref="GQ14">
    <cfRule type="containsText" priority="4" operator="containsText" aboveAverage="0" equalAverage="0" bottom="0" percent="0" rank="0" text="Month " dxfId="9">
      <formula>NOT(ISERROR(SEARCH("Month ",GQ14)))</formula>
    </cfRule>
  </conditionalFormatting>
  <conditionalFormatting sqref="GQ13">
    <cfRule type="containsText" priority="5" operator="containsText" aboveAverage="0" equalAverage="0" bottom="0" percent="0" rank="0" text="Month " dxfId="9">
      <formula>NOT(ISERROR(SEARCH("Month ",GQ13)))</formula>
    </cfRule>
  </conditionalFormatting>
  <conditionalFormatting sqref="GQ6">
    <cfRule type="containsText" priority="6" operator="containsText" aboveAverage="0" equalAverage="0" bottom="0" percent="0" rank="0" text="Month " dxfId="9">
      <formula>NOT(ISERROR(SEARCH("Month ",GQ6)))</formula>
    </cfRule>
  </conditionalFormatting>
  <conditionalFormatting sqref="GP6">
    <cfRule type="containsText" priority="7" operator="containsText" aboveAverage="0" equalAverage="0" bottom="0" percent="0" rank="0" text="Month " dxfId="9">
      <formula>NOT(ISERROR(SEARCH("Month ",GP6)))</formula>
    </cfRule>
  </conditionalFormatting>
  <conditionalFormatting sqref="GQ5">
    <cfRule type="containsText" priority="8" operator="containsText" aboveAverage="0" equalAverage="0" bottom="0" percent="0" rank="0" text="Month " dxfId="9">
      <formula>NOT(ISERROR(SEARCH("Month ",GQ5)))</formula>
    </cfRule>
  </conditionalFormatting>
  <conditionalFormatting sqref="GE15">
    <cfRule type="containsText" priority="9" operator="containsText" aboveAverage="0" equalAverage="0" bottom="0" percent="0" rank="0" text="Month " dxfId="9">
      <formula>NOT(ISERROR(SEARCH("Month ",GE15)))</formula>
    </cfRule>
  </conditionalFormatting>
  <conditionalFormatting sqref="GF15">
    <cfRule type="containsText" priority="10" operator="containsText" aboveAverage="0" equalAverage="0" bottom="0" percent="0" rank="0" text="Month " dxfId="9">
      <formula>NOT(ISERROR(SEARCH("Month ",GF15)))</formula>
    </cfRule>
  </conditionalFormatting>
  <conditionalFormatting sqref="GD15">
    <cfRule type="cellIs" priority="11" operator="equal" aboveAverage="0" equalAverage="0" bottom="0" percent="0" rank="0" text="" dxfId="10">
      <formula>"Yes"</formula>
    </cfRule>
    <cfRule type="cellIs" priority="12" operator="equal" aboveAverage="0" equalAverage="0" bottom="0" percent="0" rank="0" text="" dxfId="11">
      <formula>"No"</formula>
    </cfRule>
    <cfRule type="cellIs" priority="13" operator="equal" aboveAverage="0" equalAverage="0" bottom="0" percent="0" rank="0" text="" dxfId="12">
      <formula>"N/A"</formula>
    </cfRule>
  </conditionalFormatting>
  <conditionalFormatting sqref="GC15">
    <cfRule type="cellIs" priority="14" operator="equal" aboveAverage="0" equalAverage="0" bottom="0" percent="0" rank="0" text="" dxfId="10">
      <formula>"Yes"</formula>
    </cfRule>
    <cfRule type="cellIs" priority="15" operator="equal" aboveAverage="0" equalAverage="0" bottom="0" percent="0" rank="0" text="" dxfId="11">
      <formula>"No"</formula>
    </cfRule>
    <cfRule type="cellIs" priority="16" operator="equal" aboveAverage="0" equalAverage="0" bottom="0" percent="0" rank="0" text="" dxfId="12">
      <formula>"N/A"</formula>
    </cfRule>
  </conditionalFormatting>
  <conditionalFormatting sqref="EX15:EY15">
    <cfRule type="cellIs" priority="17" operator="equal" aboveAverage="0" equalAverage="0" bottom="0" percent="0" rank="0" text="" dxfId="13">
      <formula>"N/A"</formula>
    </cfRule>
  </conditionalFormatting>
  <conditionalFormatting sqref="DG15 DR15 EC15 EN15 FJ15 FU15">
    <cfRule type="cellIs" priority="18" operator="equal" aboveAverage="0" equalAverage="0" bottom="0" percent="0" rank="0" text="" dxfId="13">
      <formula>"N/A"</formula>
    </cfRule>
  </conditionalFormatting>
  <conditionalFormatting sqref="BD15">
    <cfRule type="cellIs" priority="19" operator="equal" aboveAverage="0" equalAverage="0" bottom="0" percent="0" rank="0" text="" dxfId="13">
      <formula>"N/A"</formula>
    </cfRule>
    <cfRule type="notContainsText" priority="20" operator="notContains" aboveAverage="0" equalAverage="0" bottom="0" percent="0" rank="0" text="Month" dxfId="14">
      <formula>ISERROR(SEARCH("Month",BD15))</formula>
    </cfRule>
  </conditionalFormatting>
  <conditionalFormatting sqref="H15 O15:P15 W15:X15 AE15:AF15 AP15:AQ15 BA15:BB15 BL15:BM15 BW15:BX15 CH15:CI15 CS15:CT15 DD15:DE15 DO15:DP15 DZ15:EA15 EK15:EL15 EV15:EW15 FG15:FH15 FR15:FS15">
    <cfRule type="cellIs" priority="21" operator="equal" aboveAverage="0" equalAverage="0" bottom="0" percent="0" rank="0" text="" dxfId="10">
      <formula>"Yes"</formula>
    </cfRule>
    <cfRule type="cellIs" priority="22" operator="equal" aboveAverage="0" equalAverage="0" bottom="0" percent="0" rank="0" text="" dxfId="11">
      <formula>"No"</formula>
    </cfRule>
    <cfRule type="cellIs" priority="23" operator="equal" aboveAverage="0" equalAverage="0" bottom="0" percent="0" rank="0" text="" dxfId="12">
      <formula>"N/A"</formula>
    </cfRule>
  </conditionalFormatting>
  <conditionalFormatting sqref="GQ7:GQ8">
    <cfRule type="containsText" priority="24" operator="containsText" aboveAverage="0" equalAverage="0" bottom="0" percent="0" rank="0" text="Month " dxfId="9">
      <formula>NOT(ISERROR(SEARCH("Month ",GQ7)))</formula>
    </cfRule>
  </conditionalFormatting>
  <conditionalFormatting sqref="GQ3">
    <cfRule type="containsText" priority="25" operator="containsText" aboveAverage="0" equalAverage="0" bottom="0" percent="0" rank="0" text="Month " dxfId="9">
      <formula>NOT(ISERROR(SEARCH("Month ",GQ3)))</formula>
    </cfRule>
  </conditionalFormatting>
  <conditionalFormatting sqref="GQ15">
    <cfRule type="cellIs" priority="26" operator="equal" aboveAverage="0" equalAverage="0" bottom="0" percent="0" rank="0" text="" dxfId="13">
      <formula>"N/A"</formula>
    </cfRule>
  </conditionalFormatting>
  <conditionalFormatting sqref="GP1:GQ2 GP3:GP5 GP7:GP20 GP21:GQ26 GP30:GQ1048576 GQ27:GQ29">
    <cfRule type="containsText" priority="27" operator="containsText" aboveAverage="0" equalAverage="0" bottom="0" percent="0" rank="0" text="Month " dxfId="9">
      <formula>NOT(ISERROR(SEARCH("Month ",GP1)))</formula>
    </cfRule>
  </conditionalFormatting>
  <conditionalFormatting sqref="GO3:GO20">
    <cfRule type="cellIs" priority="28" operator="equal" aboveAverage="0" equalAverage="0" bottom="0" percent="0" rank="0" text="" dxfId="10">
      <formula>"Yes"</formula>
    </cfRule>
    <cfRule type="cellIs" priority="29" operator="equal" aboveAverage="0" equalAverage="0" bottom="0" percent="0" rank="0" text="" dxfId="11">
      <formula>"No"</formula>
    </cfRule>
    <cfRule type="cellIs" priority="30" operator="equal" aboveAverage="0" equalAverage="0" bottom="0" percent="0" rank="0" text="" dxfId="12">
      <formula>"N/A"</formula>
    </cfRule>
  </conditionalFormatting>
  <conditionalFormatting sqref="GN3:GN20">
    <cfRule type="cellIs" priority="31" operator="equal" aboveAverage="0" equalAverage="0" bottom="0" percent="0" rank="0" text="" dxfId="10">
      <formula>"Yes"</formula>
    </cfRule>
    <cfRule type="cellIs" priority="32" operator="equal" aboveAverage="0" equalAverage="0" bottom="0" percent="0" rank="0" text="" dxfId="11">
      <formula>"No"</formula>
    </cfRule>
    <cfRule type="cellIs" priority="33" operator="equal" aboveAverage="0" equalAverage="0" bottom="0" percent="0" rank="0" text="" dxfId="12">
      <formula>"N/A"</formula>
    </cfRule>
  </conditionalFormatting>
  <conditionalFormatting sqref="GE5:GE6">
    <cfRule type="containsText" priority="34" operator="containsText" aboveAverage="0" equalAverage="0" bottom="0" percent="0" rank="0" text="Month " dxfId="9">
      <formula>NOT(ISERROR(SEARCH("Month ",GE5)))</formula>
    </cfRule>
  </conditionalFormatting>
  <conditionalFormatting sqref="GF16">
    <cfRule type="containsText" priority="35" operator="containsText" aboveAverage="0" equalAverage="0" bottom="0" percent="0" rank="0" text="Month " dxfId="9">
      <formula>NOT(ISERROR(SEARCH("Month ",GF16)))</formula>
    </cfRule>
  </conditionalFormatting>
  <conditionalFormatting sqref="GE14">
    <cfRule type="cellIs" priority="36" operator="equal" aboveAverage="0" equalAverage="0" bottom="0" percent="0" rank="0" text="" dxfId="13">
      <formula>"N/A"</formula>
    </cfRule>
  </conditionalFormatting>
  <conditionalFormatting sqref="GE16">
    <cfRule type="containsText" priority="37" operator="containsText" aboveAverage="0" equalAverage="0" bottom="0" percent="0" rank="0" text="Month " dxfId="9">
      <formula>NOT(ISERROR(SEARCH("Month ",GE16)))</formula>
    </cfRule>
  </conditionalFormatting>
  <conditionalFormatting sqref="GF13">
    <cfRule type="containsText" priority="38" operator="containsText" aboveAverage="0" equalAverage="0" bottom="0" percent="0" rank="0" text="Month " dxfId="9">
      <formula>NOT(ISERROR(SEARCH("Month ",GF13)))</formula>
    </cfRule>
  </conditionalFormatting>
  <conditionalFormatting sqref="GE13">
    <cfRule type="containsText" priority="39" operator="containsText" aboveAverage="0" equalAverage="0" bottom="0" percent="0" rank="0" text="Month " dxfId="9">
      <formula>NOT(ISERROR(SEARCH("Month ",GE13)))</formula>
    </cfRule>
  </conditionalFormatting>
  <conditionalFormatting sqref="GF7:GF8">
    <cfRule type="containsText" priority="40" operator="containsText" aboveAverage="0" equalAverage="0" bottom="0" percent="0" rank="0" text="Month " dxfId="9">
      <formula>NOT(ISERROR(SEARCH("Month ",GF7)))</formula>
    </cfRule>
  </conditionalFormatting>
  <conditionalFormatting sqref="GF5:GF6">
    <cfRule type="containsText" priority="41" operator="containsText" aboveAverage="0" equalAverage="0" bottom="0" percent="0" rank="0" text="Month " dxfId="9">
      <formula>NOT(ISERROR(SEARCH("Month ",GF5)))</formula>
    </cfRule>
  </conditionalFormatting>
  <conditionalFormatting sqref="GE3">
    <cfRule type="containsText" priority="42" operator="containsText" aboveAverage="0" equalAverage="0" bottom="0" percent="0" rank="0" text="Month " dxfId="9">
      <formula>NOT(ISERROR(SEARCH("Month ",GE3)))</formula>
    </cfRule>
  </conditionalFormatting>
  <conditionalFormatting sqref="GF18">
    <cfRule type="containsText" priority="43" operator="containsText" aboveAverage="0" equalAverage="0" bottom="0" percent="0" rank="0" text="Month " dxfId="9">
      <formula>NOT(ISERROR(SEARCH("Month ",GF18)))</formula>
    </cfRule>
  </conditionalFormatting>
  <conditionalFormatting sqref="GF3">
    <cfRule type="containsText" priority="44" operator="containsText" aboveAverage="0" equalAverage="0" bottom="0" percent="0" rank="0" text="Month " dxfId="9">
      <formula>NOT(ISERROR(SEARCH("Month ",GF3)))</formula>
    </cfRule>
  </conditionalFormatting>
  <conditionalFormatting sqref="GF14">
    <cfRule type="cellIs" priority="45" operator="equal" aboveAverage="0" equalAverage="0" bottom="0" percent="0" rank="0" text="" dxfId="13">
      <formula>"N/A"</formula>
    </cfRule>
  </conditionalFormatting>
  <conditionalFormatting sqref="GE1:GF2 GE4 GE7:GE12 GE17:GE20 GE21:GF1048576">
    <cfRule type="containsText" priority="46" operator="containsText" aboveAverage="0" equalAverage="0" bottom="0" percent="0" rank="0" text="Month " dxfId="9">
      <formula>NOT(ISERROR(SEARCH("Month ",GE1)))</formula>
    </cfRule>
  </conditionalFormatting>
  <conditionalFormatting sqref="GD3:GD14 GD16:GD20">
    <cfRule type="cellIs" priority="47" operator="equal" aboveAverage="0" equalAverage="0" bottom="0" percent="0" rank="0" text="" dxfId="10">
      <formula>"Yes"</formula>
    </cfRule>
    <cfRule type="cellIs" priority="48" operator="equal" aboveAverage="0" equalAverage="0" bottom="0" percent="0" rank="0" text="" dxfId="11">
      <formula>"No"</formula>
    </cfRule>
    <cfRule type="cellIs" priority="49" operator="equal" aboveAverage="0" equalAverage="0" bottom="0" percent="0" rank="0" text="" dxfId="12">
      <formula>"N/A"</formula>
    </cfRule>
  </conditionalFormatting>
  <conditionalFormatting sqref="GC3:GC6">
    <cfRule type="cellIs" priority="50" operator="equal" aboveAverage="0" equalAverage="0" bottom="0" percent="0" rank="0" text="" dxfId="10">
      <formula>"Yes"</formula>
    </cfRule>
    <cfRule type="cellIs" priority="51" operator="equal" aboveAverage="0" equalAverage="0" bottom="0" percent="0" rank="0" text="" dxfId="11">
      <formula>"No"</formula>
    </cfRule>
    <cfRule type="cellIs" priority="52" operator="equal" aboveAverage="0" equalAverage="0" bottom="0" percent="0" rank="0" text="" dxfId="12">
      <formula>"N/A"</formula>
    </cfRule>
  </conditionalFormatting>
  <conditionalFormatting sqref="GC7:GC14 GC16:GC20">
    <cfRule type="cellIs" priority="53" operator="equal" aboveAverage="0" equalAverage="0" bottom="0" percent="0" rank="0" text="" dxfId="10">
      <formula>"Yes"</formula>
    </cfRule>
    <cfRule type="cellIs" priority="54" operator="equal" aboveAverage="0" equalAverage="0" bottom="0" percent="0" rank="0" text="" dxfId="11">
      <formula>"No"</formula>
    </cfRule>
    <cfRule type="cellIs" priority="55" operator="equal" aboveAverage="0" equalAverage="0" bottom="0" percent="0" rank="0" text="" dxfId="12">
      <formula>"N/A"</formula>
    </cfRule>
  </conditionalFormatting>
  <conditionalFormatting sqref="FU3">
    <cfRule type="cellIs" priority="56" operator="equal" aboveAverage="0" equalAverage="0" bottom="0" percent="0" rank="0" text="" dxfId="13">
      <formula>"N/A"</formula>
    </cfRule>
  </conditionalFormatting>
  <conditionalFormatting sqref="FT11:FU11">
    <cfRule type="cellIs" priority="57" operator="equal" aboveAverage="0" equalAverage="0" bottom="0" percent="0" rank="0" text="" dxfId="13">
      <formula>"N/A"</formula>
    </cfRule>
  </conditionalFormatting>
  <conditionalFormatting sqref="FT3">
    <cfRule type="cellIs" priority="58" operator="equal" aboveAverage="0" equalAverage="0" bottom="0" percent="0" rank="0" text="" dxfId="13">
      <formula>"N/A"</formula>
    </cfRule>
  </conditionalFormatting>
  <conditionalFormatting sqref="FU16 FV14:FX14">
    <cfRule type="cellIs" priority="59" operator="equal" aboveAverage="0" equalAverage="0" bottom="0" percent="0" rank="0" text="" dxfId="13">
      <formula>"N/A"</formula>
    </cfRule>
  </conditionalFormatting>
  <conditionalFormatting sqref="FU10 FU12 FU17:FU20 FV18:FX18">
    <cfRule type="cellIs" priority="60" operator="equal" aboveAverage="0" equalAverage="0" bottom="0" percent="0" rank="0" text="" dxfId="13">
      <formula>"N/A"</formula>
    </cfRule>
  </conditionalFormatting>
  <conditionalFormatting sqref="FJ11">
    <cfRule type="cellIs" priority="61" operator="equal" aboveAverage="0" equalAverage="0" bottom="0" percent="0" rank="0" text="" dxfId="13">
      <formula>"N/A"</formula>
    </cfRule>
  </conditionalFormatting>
  <conditionalFormatting sqref="FI3:FJ3">
    <cfRule type="cellIs" priority="62" operator="equal" aboveAverage="0" equalAverage="0" bottom="0" percent="0" rank="0" text="" dxfId="13">
      <formula>"N/A"</formula>
    </cfRule>
  </conditionalFormatting>
  <conditionalFormatting sqref="FJ14 FJ16">
    <cfRule type="cellIs" priority="63" operator="equal" aboveAverage="0" equalAverage="0" bottom="0" percent="0" rank="0" text="" dxfId="13">
      <formula>"N/A"</formula>
    </cfRule>
  </conditionalFormatting>
  <conditionalFormatting sqref="FJ10 FJ12:FJ13 FJ17:FJ20 FK18:FM18">
    <cfRule type="cellIs" priority="64" operator="equal" aboveAverage="0" equalAverage="0" bottom="0" percent="0" rank="0" text="" dxfId="13">
      <formula>"N/A"</formula>
    </cfRule>
  </conditionalFormatting>
  <conditionalFormatting sqref="EY10">
    <cfRule type="cellIs" priority="65" operator="equal" aboveAverage="0" equalAverage="0" bottom="0" percent="0" rank="0" text="" dxfId="13">
      <formula>"N/A"</formula>
    </cfRule>
  </conditionalFormatting>
  <conditionalFormatting sqref="EX10">
    <cfRule type="cellIs" priority="66" operator="equal" aboveAverage="0" equalAverage="0" bottom="0" percent="0" rank="0" text="" dxfId="13">
      <formula>"N/A"</formula>
    </cfRule>
  </conditionalFormatting>
  <conditionalFormatting sqref="EY3">
    <cfRule type="cellIs" priority="67" operator="equal" aboveAverage="0" equalAverage="0" bottom="0" percent="0" rank="0" text="" dxfId="13">
      <formula>"N/A"</formula>
    </cfRule>
  </conditionalFormatting>
  <conditionalFormatting sqref="EX5:EY6 EY14">
    <cfRule type="cellIs" priority="68" operator="equal" aboveAverage="0" equalAverage="0" bottom="0" percent="0" rank="0" text="" dxfId="13">
      <formula>"N/A"</formula>
    </cfRule>
  </conditionalFormatting>
  <conditionalFormatting sqref="EN3">
    <cfRule type="cellIs" priority="69" operator="equal" aboveAverage="0" equalAverage="0" bottom="0" percent="0" rank="0" text="" dxfId="13">
      <formula>"N/A"</formula>
    </cfRule>
  </conditionalFormatting>
  <conditionalFormatting sqref="EC3">
    <cfRule type="cellIs" priority="70" operator="equal" aboveAverage="0" equalAverage="0" bottom="0" percent="0" rank="0" text="" dxfId="13">
      <formula>"N/A"</formula>
    </cfRule>
  </conditionalFormatting>
  <conditionalFormatting sqref="DR14">
    <cfRule type="cellIs" priority="71" operator="equal" aboveAverage="0" equalAverage="0" bottom="0" percent="0" rank="0" text="" dxfId="13">
      <formula>"N/A"</formula>
    </cfRule>
  </conditionalFormatting>
  <conditionalFormatting sqref="DR3">
    <cfRule type="cellIs" priority="72" operator="equal" aboveAverage="0" equalAverage="0" bottom="0" percent="0" rank="0" text="" dxfId="13">
      <formula>"N/A"</formula>
    </cfRule>
  </conditionalFormatting>
  <conditionalFormatting sqref="H10:H13">
    <cfRule type="cellIs" priority="73" operator="equal" aboveAverage="0" equalAverage="0" bottom="0" percent="0" rank="0" text="" dxfId="10">
      <formula>"Yes"</formula>
    </cfRule>
    <cfRule type="cellIs" priority="74" operator="equal" aboveAverage="0" equalAverage="0" bottom="0" percent="0" rank="0" text="" dxfId="11">
      <formula>"No"</formula>
    </cfRule>
    <cfRule type="cellIs" priority="75" operator="equal" aboveAverage="0" equalAverage="0" bottom="0" percent="0" rank="0" text="" dxfId="12">
      <formula>"N/A"</formula>
    </cfRule>
  </conditionalFormatting>
  <conditionalFormatting sqref="CV14">
    <cfRule type="cellIs" priority="76" operator="equal" aboveAverage="0" equalAverage="0" bottom="0" percent="0" rank="0" text="" dxfId="13">
      <formula>"N/A"</formula>
    </cfRule>
  </conditionalFormatting>
  <conditionalFormatting sqref="CV3:CV4">
    <cfRule type="cellIs" priority="77" operator="equal" aboveAverage="0" equalAverage="0" bottom="0" percent="0" rank="0" text="" dxfId="13">
      <formula>"N/A"</formula>
    </cfRule>
  </conditionalFormatting>
  <conditionalFormatting sqref="BZ3:BZ4 BZ7:BZ13 BZ16:BZ20 CV7:CV13 CV16:CV20 DG3:DG14 DG16:DG20 DR4:DR13 DR16:DR20 EC4:EC14 EC16:EC20 EN4:EN14 EN16:EN20 EY4 EY7:EY9 EY11:EY13 EY16:EY20 FI9:FJ9 FJ4:FJ8 FU4:FU9">
    <cfRule type="cellIs" priority="78" operator="equal" aboveAverage="0" equalAverage="0" bottom="0" percent="0" rank="0" text="" dxfId="13">
      <formula>"N/A"</formula>
    </cfRule>
  </conditionalFormatting>
  <conditionalFormatting sqref="BD3:BD14 BD16:BD20">
    <cfRule type="cellIs" priority="79" operator="equal" aboveAverage="0" equalAverage="0" bottom="0" percent="0" rank="0" text="" dxfId="13">
      <formula>"N/A"</formula>
    </cfRule>
    <cfRule type="notContainsText" priority="80" operator="notContains" aboveAverage="0" equalAverage="0" bottom="0" percent="0" rank="0" text="Month" dxfId="14">
      <formula>ISERROR(SEARCH("Month",BD3))</formula>
    </cfRule>
  </conditionalFormatting>
  <conditionalFormatting sqref="H3:H8 H14 H16:H20 O3:P14 O16:P20 W3:X14 W16:X20 AE3:AF14 AE16:AF20 AP3:AQ14 AP16:AQ20 BA3:BB14 BA16:BB20 BL3:BM14 BL16:BM20 BW3:BX14 BW16:BX20 CH3:CI14 CH16:CI20 CS3:CT14 CS16:CT20 DD3:DE14 DD16:DE20 DO3:DP14 DO16:DP20 DZ3:EA14 DZ16:EA20 EK3:EL14 EK16:EL20 EV3:EW14 EV16:EW20 FG3:FH14 FG16:FH20 FR3:FS12 FR14:FS14 FR16:FS20">
    <cfRule type="cellIs" priority="81" operator="equal" aboveAverage="0" equalAverage="0" bottom="0" percent="0" rank="0" text="" dxfId="10">
      <formula>"Yes"</formula>
    </cfRule>
    <cfRule type="cellIs" priority="82" operator="equal" aboveAverage="0" equalAverage="0" bottom="0" percent="0" rank="0" text="" dxfId="11">
      <formula>"No"</formula>
    </cfRule>
    <cfRule type="cellIs" priority="83" operator="equal" aboveAverage="0" equalAverage="0" bottom="0" percent="0" rank="0" text="" dxfId="12">
      <formula>"N/A"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2021-05-04T12:48:00Z</dcterms:created>
  <dc:creator>Ray Rajani</dc:creator>
  <dc:description/>
  <dc:language>en-US</dc:language>
  <cp:lastModifiedBy>。。。</cp:lastModifiedBy>
  <dcterms:modified xsi:type="dcterms:W3CDTF">2026-09-06T00:49:33Z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B83CFE2DD56D4DFDB7897581A2249076_13</vt:lpwstr>
  </property>
  <property fmtid="{D5CDD505-2E9C-101B-9397-08002B2CF9AE}" pid="3" name="KSOProductBuildVer">
    <vt:lpwstr>2052-12.1.0.16729</vt:lpwstr>
  </property>
</Properties>
</file>