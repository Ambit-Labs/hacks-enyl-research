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Emp" sheetId="1" state="visible" r:id="rId3"/>
    <sheet name="Lookup" sheetId="2" state="visible" r:id="rId4"/>
    <sheet name="Expecte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<sst xmlns="http://schemas.openxmlformats.org/spreadsheetml/2006/main" count="42" uniqueCount="23">
  <si>
    <t xml:space="preserve">seqno</t>
  </si>
  <si>
    <t xml:space="preserve">Empno</t>
  </si>
  <si>
    <t xml:space="preserve">ename</t>
  </si>
  <si>
    <t xml:space="preserve">Jobid</t>
  </si>
  <si>
    <t xml:space="preserve">Comp1</t>
  </si>
  <si>
    <t xml:space="preserve">2_comp</t>
  </si>
  <si>
    <t xml:space="preserve">dept1</t>
  </si>
  <si>
    <t xml:space="preserve">avg sal</t>
  </si>
  <si>
    <t xml:space="preserve">hike</t>
  </si>
  <si>
    <t xml:space="preserve">performance</t>
  </si>
  <si>
    <t xml:space="preserve">ravi</t>
  </si>
  <si>
    <t xml:space="preserve">hari</t>
  </si>
  <si>
    <t xml:space="preserve">gopal</t>
  </si>
  <si>
    <t xml:space="preserve">Variable</t>
  </si>
  <si>
    <t xml:space="preserve">Category</t>
  </si>
  <si>
    <t xml:space="preserve">Subcategory</t>
  </si>
  <si>
    <t xml:space="preserve">Survey</t>
  </si>
  <si>
    <t xml:space="preserve">Country</t>
  </si>
  <si>
    <t xml:space="preserve">CONTINENT</t>
  </si>
  <si>
    <t xml:space="preserve">STATE</t>
  </si>
  <si>
    <t xml:space="preserve">DISTRICT</t>
  </si>
  <si>
    <t xml:space="preserve">HEADQTR</t>
  </si>
  <si>
    <t xml:space="preserve">Value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</si>
</sst>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6"/>
        <bgColor rgb="FFC0C0C0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3" style="0" width="6.5"/>
    <col collapsed="false" customWidth="true" hidden="false" outlineLevel="0" max="10" min="10" style="0" width="11.6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3.5" hidden="false" customHeight="false" outlineLevel="0" collapsed="false">
      <c r="A2" s="1" t="n">
        <v>1</v>
      </c>
      <c r="B2" s="1" t="n">
        <v>1001</v>
      </c>
      <c r="C2" s="1" t="s">
        <v>10</v>
      </c>
      <c r="D2" s="1" t="n">
        <v>12</v>
      </c>
      <c r="E2" s="1" t="n">
        <v>2</v>
      </c>
      <c r="F2" s="1" t="n">
        <v>4</v>
      </c>
      <c r="G2" s="1" t="n">
        <v>3</v>
      </c>
      <c r="H2" s="1" t="n">
        <v>1</v>
      </c>
      <c r="I2" s="1" t="n">
        <v>2</v>
      </c>
      <c r="J2" s="1" t="n">
        <v>1</v>
      </c>
    </row>
    <row r="3" customFormat="false" ht="13.5" hidden="false" customHeight="false" outlineLevel="0" collapsed="false">
      <c r="A3" s="1" t="n">
        <v>2</v>
      </c>
      <c r="B3" s="1" t="n">
        <v>2001</v>
      </c>
      <c r="C3" s="1" t="s">
        <v>11</v>
      </c>
      <c r="D3" s="1" t="n">
        <v>21</v>
      </c>
      <c r="E3" s="1" t="n">
        <v>5</v>
      </c>
      <c r="F3" s="1" t="n">
        <v>5</v>
      </c>
      <c r="G3" s="1" t="n">
        <v>5</v>
      </c>
      <c r="H3" s="1" t="n">
        <v>5</v>
      </c>
      <c r="I3" s="1" t="n">
        <v>5</v>
      </c>
      <c r="J3" s="1" t="n">
        <v>2</v>
      </c>
    </row>
    <row r="4" customFormat="false" ht="13.5" hidden="false" customHeight="false" outlineLevel="0" collapsed="false">
      <c r="A4" s="1" t="n">
        <v>3</v>
      </c>
      <c r="B4" s="1" t="n">
        <v>2008</v>
      </c>
      <c r="C4" s="1" t="s">
        <v>12</v>
      </c>
      <c r="D4" s="1" t="n">
        <v>16</v>
      </c>
      <c r="E4" s="1" t="n">
        <v>3</v>
      </c>
      <c r="F4" s="1" t="n">
        <v>2</v>
      </c>
      <c r="G4" s="1" t="n">
        <v>1</v>
      </c>
      <c r="H4" s="1" t="n">
        <v>1</v>
      </c>
      <c r="I4" s="1" t="n">
        <v>1</v>
      </c>
      <c r="J4" s="1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1.66"/>
    <col collapsed="false" customWidth="true" hidden="false" outlineLevel="0" max="2" min="2" style="0" width="8.16"/>
    <col collapsed="false" customWidth="true" hidden="false" outlineLevel="0" max="3" min="3" style="0" width="11"/>
  </cols>
  <sheetData>
    <row r="1" customFormat="false" ht="13.5" hidden="false" customHeight="false" outlineLevel="0" collapsed="false">
      <c r="A1" s="3" t="s">
        <v>13</v>
      </c>
      <c r="B1" s="3" t="s">
        <v>14</v>
      </c>
      <c r="C1" s="3" t="s">
        <v>15</v>
      </c>
    </row>
    <row r="2" customFormat="false" ht="13.5" hidden="false" customHeight="false" outlineLevel="0" collapsed="false">
      <c r="A2" s="3" t="s">
        <v>4</v>
      </c>
      <c r="B2" s="3" t="s">
        <v>16</v>
      </c>
      <c r="C2" s="3" t="s">
        <v>17</v>
      </c>
    </row>
    <row r="3" customFormat="false" ht="13.5" hidden="false" customHeight="false" outlineLevel="0" collapsed="false">
      <c r="A3" s="3" t="s">
        <v>5</v>
      </c>
      <c r="B3" s="3" t="s">
        <v>16</v>
      </c>
      <c r="C3" s="3" t="s">
        <v>18</v>
      </c>
    </row>
    <row r="4" customFormat="false" ht="13.5" hidden="false" customHeight="false" outlineLevel="0" collapsed="false">
      <c r="A4" s="3" t="s">
        <v>6</v>
      </c>
      <c r="B4" s="3" t="s">
        <v>16</v>
      </c>
      <c r="C4" s="3" t="s">
        <v>19</v>
      </c>
    </row>
    <row r="5" customFormat="false" ht="13.5" hidden="false" customHeight="false" outlineLevel="0" collapsed="false">
      <c r="A5" s="3" t="s">
        <v>7</v>
      </c>
      <c r="B5" s="3" t="s">
        <v>16</v>
      </c>
      <c r="C5" s="3" t="s">
        <v>20</v>
      </c>
    </row>
    <row r="6" customFormat="false" ht="13.5" hidden="false" customHeight="false" outlineLevel="0" collapsed="false">
      <c r="A6" s="3" t="s">
        <v>8</v>
      </c>
      <c r="B6" s="3" t="s">
        <v>16</v>
      </c>
      <c r="C6" s="3" t="s">
        <v>17</v>
      </c>
    </row>
    <row r="7" customFormat="false" ht="13.5" hidden="false" customHeight="false" outlineLevel="0" collapsed="false">
      <c r="A7" s="3" t="s">
        <v>9</v>
      </c>
      <c r="B7" s="3" t="s">
        <v>16</v>
      </c>
      <c r="C7" s="3" t="s">
        <v>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5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3" t="s">
        <v>13</v>
      </c>
      <c r="F1" s="3" t="s">
        <v>14</v>
      </c>
      <c r="G1" s="3" t="s">
        <v>15</v>
      </c>
      <c r="H1" s="3" t="s">
        <v>22</v>
      </c>
    </row>
    <row r="2" customFormat="false" ht="13.5" hidden="false" customHeight="false" outlineLevel="0" collapsed="false">
      <c r="A2" s="1" t="n">
        <f aca="false">INDEX(Emp!A:A,2)</f>
        <v>1</v>
      </c>
      <c r="B2" s="1" t="n">
        <f aca="false">INDEX(Emp!B:B,2)</f>
        <v>1001</v>
      </c>
      <c r="C2" s="1" t="str">
        <f aca="false">INDEX(Emp!C:C,2)</f>
        <v>ravi</v>
      </c>
      <c r="D2" s="1" t="n">
        <f aca="false">INDEX(Emp!D:D,2)</f>
        <v>12</v>
      </c>
      <c r="E2" s="3" t="str">
        <f aca="false">INDEX(Emp!$1:$1,1,5)</f>
        <v>Comp1</v>
      </c>
      <c r="F2" s="3" t="str">
        <f aca="false">VLOOKUP(E2,Lookup!$A:$C,2,FALSE())</f>
        <v>Survey</v>
      </c>
      <c r="G2" s="3" t="str">
        <f aca="false">VLOOKUP(E2,Lookup!$A:$C,3,FALSE())</f>
        <v>Country</v>
      </c>
      <c r="H2" s="1" t="n">
        <f aca="false">INDEX(Emp!$A$1:$J$4,2,5)</f>
        <v>2</v>
      </c>
    </row>
    <row r="3" customFormat="false" ht="13.5" hidden="false" customHeight="false" outlineLevel="0" collapsed="false">
      <c r="A3" s="1" t="n">
        <f aca="false">INDEX(Emp!A:A,2)</f>
        <v>1</v>
      </c>
      <c r="B3" s="1" t="n">
        <f aca="false">INDEX(Emp!B:B,2)</f>
        <v>1001</v>
      </c>
      <c r="C3" s="1" t="str">
        <f aca="false">INDEX(Emp!C:C,2)</f>
        <v>ravi</v>
      </c>
      <c r="D3" s="1" t="n">
        <f aca="false">INDEX(Emp!D:D,2)</f>
        <v>12</v>
      </c>
      <c r="E3" s="3" t="str">
        <f aca="false">INDEX(Emp!$1:$1,1,6)</f>
        <v>2_comp</v>
      </c>
      <c r="F3" s="3" t="str">
        <f aca="false">VLOOKUP(E3,Lookup!$A:$C,2,FALSE())</f>
        <v>Survey</v>
      </c>
      <c r="G3" s="3" t="str">
        <f aca="false">VLOOKUP(E3,Lookup!$A:$C,3,FALSE())</f>
        <v>CONTINENT</v>
      </c>
      <c r="H3" s="1" t="n">
        <f aca="false">INDEX(Emp!$A$1:$J$4,2,6)</f>
        <v>4</v>
      </c>
    </row>
    <row r="4" customFormat="false" ht="13.5" hidden="false" customHeight="false" outlineLevel="0" collapsed="false">
      <c r="A4" s="1" t="n">
        <f aca="false">INDEX(Emp!A:A,2)</f>
        <v>1</v>
      </c>
      <c r="B4" s="1" t="n">
        <f aca="false">INDEX(Emp!B:B,2)</f>
        <v>1001</v>
      </c>
      <c r="C4" s="1" t="str">
        <f aca="false">INDEX(Emp!C:C,2)</f>
        <v>ravi</v>
      </c>
      <c r="D4" s="1" t="n">
        <f aca="false">INDEX(Emp!D:D,2)</f>
        <v>12</v>
      </c>
      <c r="E4" s="3" t="str">
        <f aca="false">INDEX(Emp!$1:$1,1,7)</f>
        <v>dept1</v>
      </c>
      <c r="F4" s="3" t="str">
        <f aca="false">VLOOKUP(E4,Lookup!$A:$C,2,FALSE())</f>
        <v>Survey</v>
      </c>
      <c r="G4" s="3" t="str">
        <f aca="false">VLOOKUP(E4,Lookup!$A:$C,3,FALSE())</f>
        <v>STATE</v>
      </c>
      <c r="H4" s="1" t="n">
        <f aca="false">INDEX(Emp!$A$1:$J$4,2,7)</f>
        <v>3</v>
      </c>
    </row>
    <row r="5" customFormat="false" ht="13.5" hidden="false" customHeight="false" outlineLevel="0" collapsed="false">
      <c r="A5" s="1" t="n">
        <f aca="false">INDEX(Emp!A:A,2)</f>
        <v>1</v>
      </c>
      <c r="B5" s="1" t="n">
        <f aca="false">INDEX(Emp!B:B,2)</f>
        <v>1001</v>
      </c>
      <c r="C5" s="1" t="str">
        <f aca="false">INDEX(Emp!C:C,2)</f>
        <v>ravi</v>
      </c>
      <c r="D5" s="1" t="n">
        <f aca="false">INDEX(Emp!D:D,2)</f>
        <v>12</v>
      </c>
      <c r="E5" s="3" t="str">
        <f aca="false">INDEX(Emp!$1:$1,1,8)</f>
        <v>avg sal</v>
      </c>
      <c r="F5" s="3" t="str">
        <f aca="false">VLOOKUP(E5,Lookup!$A:$C,2,FALSE())</f>
        <v>Survey</v>
      </c>
      <c r="G5" s="3" t="str">
        <f aca="false">VLOOKUP(E5,Lookup!$A:$C,3,FALSE())</f>
        <v>DISTRICT</v>
      </c>
      <c r="H5" s="1" t="n">
        <f aca="false">INDEX(Emp!$A$1:$J$4,2,8)</f>
        <v>1</v>
      </c>
    </row>
    <row r="6" customFormat="false" ht="13.5" hidden="false" customHeight="false" outlineLevel="0" collapsed="false">
      <c r="A6" s="1" t="n">
        <f aca="false">INDEX(Emp!A:A,2)</f>
        <v>1</v>
      </c>
      <c r="B6" s="1" t="n">
        <f aca="false">INDEX(Emp!B:B,2)</f>
        <v>1001</v>
      </c>
      <c r="C6" s="1" t="str">
        <f aca="false">INDEX(Emp!C:C,2)</f>
        <v>ravi</v>
      </c>
      <c r="D6" s="1" t="n">
        <f aca="false">INDEX(Emp!D:D,2)</f>
        <v>12</v>
      </c>
      <c r="E6" s="3" t="str">
        <f aca="false">INDEX(Emp!$1:$1,1,9)</f>
        <v>hike</v>
      </c>
      <c r="F6" s="3" t="str">
        <f aca="false">VLOOKUP(E6,Lookup!$A:$C,2,FALSE())</f>
        <v>Survey</v>
      </c>
      <c r="G6" s="3" t="str">
        <f aca="false">VLOOKUP(E6,Lookup!$A:$C,3,FALSE())</f>
        <v>Country</v>
      </c>
      <c r="H6" s="1" t="n">
        <f aca="false">INDEX(Emp!$A$1:$J$4,2,9)</f>
        <v>2</v>
      </c>
    </row>
    <row r="7" customFormat="false" ht="13.5" hidden="false" customHeight="false" outlineLevel="0" collapsed="false">
      <c r="A7" s="1" t="n">
        <f aca="false">INDEX(Emp!A:A,2)</f>
        <v>1</v>
      </c>
      <c r="B7" s="1" t="n">
        <f aca="false">INDEX(Emp!B:B,2)</f>
        <v>1001</v>
      </c>
      <c r="C7" s="1" t="str">
        <f aca="false">INDEX(Emp!C:C,2)</f>
        <v>ravi</v>
      </c>
      <c r="D7" s="1" t="n">
        <f aca="false">INDEX(Emp!D:D,2)</f>
        <v>12</v>
      </c>
      <c r="E7" s="3" t="str">
        <f aca="false">INDEX(Emp!$1:$1,1,10)</f>
        <v>performance</v>
      </c>
      <c r="F7" s="3" t="str">
        <f aca="false">VLOOKUP(E7,Lookup!$A:$C,2,FALSE())</f>
        <v>Survey</v>
      </c>
      <c r="G7" s="3" t="str">
        <f aca="false">VLOOKUP(E7,Lookup!$A:$C,3,FALSE())</f>
        <v>HEADQTR</v>
      </c>
      <c r="H7" s="1" t="n">
        <f aca="false">INDEX(Emp!$A$1:$J$4,2,10)</f>
        <v>1</v>
      </c>
    </row>
    <row r="8" customFormat="false" ht="13.5" hidden="false" customHeight="false" outlineLevel="0" collapsed="false">
      <c r="A8" s="1" t="n">
        <f aca="false">INDEX(Emp!A:A,3)</f>
        <v>2</v>
      </c>
      <c r="B8" s="1" t="n">
        <f aca="false">INDEX(Emp!B:B,3)</f>
        <v>2001</v>
      </c>
      <c r="C8" s="1" t="str">
        <f aca="false">INDEX(Emp!C:C,3)</f>
        <v>hari</v>
      </c>
      <c r="D8" s="1" t="n">
        <f aca="false">INDEX(Emp!D:D,3)</f>
        <v>21</v>
      </c>
      <c r="E8" s="3" t="str">
        <f aca="false">INDEX(Emp!$1:$1,1,5)</f>
        <v>Comp1</v>
      </c>
      <c r="F8" s="3" t="str">
        <f aca="false">VLOOKUP(E8,Lookup!$A:$C,2,FALSE())</f>
        <v>Survey</v>
      </c>
      <c r="G8" s="3" t="str">
        <f aca="false">VLOOKUP(E8,Lookup!$A:$C,3,FALSE())</f>
        <v>Country</v>
      </c>
      <c r="H8" s="1" t="n">
        <f aca="false">INDEX(Emp!$A$1:$J$4,3,5)</f>
        <v>5</v>
      </c>
    </row>
    <row r="9" customFormat="false" ht="13.5" hidden="false" customHeight="false" outlineLevel="0" collapsed="false">
      <c r="A9" s="1" t="n">
        <f aca="false">INDEX(Emp!A:A,3)</f>
        <v>2</v>
      </c>
      <c r="B9" s="1" t="n">
        <f aca="false">INDEX(Emp!B:B,3)</f>
        <v>2001</v>
      </c>
      <c r="C9" s="1" t="str">
        <f aca="false">INDEX(Emp!C:C,3)</f>
        <v>hari</v>
      </c>
      <c r="D9" s="1" t="n">
        <f aca="false">INDEX(Emp!D:D,3)</f>
        <v>21</v>
      </c>
      <c r="E9" s="3" t="str">
        <f aca="false">INDEX(Emp!$1:$1,1,6)</f>
        <v>2_comp</v>
      </c>
      <c r="F9" s="3" t="str">
        <f aca="false">VLOOKUP(E9,Lookup!$A:$C,2,FALSE())</f>
        <v>Survey</v>
      </c>
      <c r="G9" s="3" t="str">
        <f aca="false">VLOOKUP(E9,Lookup!$A:$C,3,FALSE())</f>
        <v>CONTINENT</v>
      </c>
      <c r="H9" s="1" t="n">
        <f aca="false">INDEX(Emp!$A$1:$J$4,3,6)</f>
        <v>5</v>
      </c>
    </row>
    <row r="10" customFormat="false" ht="13.5" hidden="false" customHeight="false" outlineLevel="0" collapsed="false">
      <c r="A10" s="1" t="n">
        <f aca="false">INDEX(Emp!A:A,3)</f>
        <v>2</v>
      </c>
      <c r="B10" s="1" t="n">
        <f aca="false">INDEX(Emp!B:B,3)</f>
        <v>2001</v>
      </c>
      <c r="C10" s="1" t="str">
        <f aca="false">INDEX(Emp!C:C,3)</f>
        <v>hari</v>
      </c>
      <c r="D10" s="1" t="n">
        <f aca="false">INDEX(Emp!D:D,3)</f>
        <v>21</v>
      </c>
      <c r="E10" s="3" t="str">
        <f aca="false">INDEX(Emp!$1:$1,1,7)</f>
        <v>dept1</v>
      </c>
      <c r="F10" s="3" t="str">
        <f aca="false">VLOOKUP(E10,Lookup!$A:$C,2,FALSE())</f>
        <v>Survey</v>
      </c>
      <c r="G10" s="3" t="str">
        <f aca="false">VLOOKUP(E10,Lookup!$A:$C,3,FALSE())</f>
        <v>STATE</v>
      </c>
      <c r="H10" s="1" t="n">
        <f aca="false">INDEX(Emp!$A$1:$J$4,3,7)</f>
        <v>5</v>
      </c>
    </row>
    <row r="11" customFormat="false" ht="13.5" hidden="false" customHeight="false" outlineLevel="0" collapsed="false">
      <c r="A11" s="1" t="n">
        <f aca="false">INDEX(Emp!A:A,3)</f>
        <v>2</v>
      </c>
      <c r="B11" s="1" t="n">
        <f aca="false">INDEX(Emp!B:B,3)</f>
        <v>2001</v>
      </c>
      <c r="C11" s="1" t="str">
        <f aca="false">INDEX(Emp!C:C,3)</f>
        <v>hari</v>
      </c>
      <c r="D11" s="1" t="n">
        <f aca="false">INDEX(Emp!D:D,3)</f>
        <v>21</v>
      </c>
      <c r="E11" s="3" t="str">
        <f aca="false">INDEX(Emp!$1:$1,1,8)</f>
        <v>avg sal</v>
      </c>
      <c r="F11" s="3" t="str">
        <f aca="false">VLOOKUP(E11,Lookup!$A:$C,2,FALSE())</f>
        <v>Survey</v>
      </c>
      <c r="G11" s="3" t="str">
        <f aca="false">VLOOKUP(E11,Lookup!$A:$C,3,FALSE())</f>
        <v>DISTRICT</v>
      </c>
      <c r="H11" s="1" t="n">
        <f aca="false">INDEX(Emp!$A$1:$J$4,3,8)</f>
        <v>5</v>
      </c>
    </row>
    <row r="12" customFormat="false" ht="13.5" hidden="false" customHeight="false" outlineLevel="0" collapsed="false">
      <c r="A12" s="1" t="n">
        <f aca="false">INDEX(Emp!A:A,3)</f>
        <v>2</v>
      </c>
      <c r="B12" s="1" t="n">
        <f aca="false">INDEX(Emp!B:B,3)</f>
        <v>2001</v>
      </c>
      <c r="C12" s="1" t="str">
        <f aca="false">INDEX(Emp!C:C,3)</f>
        <v>hari</v>
      </c>
      <c r="D12" s="1" t="n">
        <f aca="false">INDEX(Emp!D:D,3)</f>
        <v>21</v>
      </c>
      <c r="E12" s="3" t="str">
        <f aca="false">INDEX(Emp!$1:$1,1,9)</f>
        <v>hike</v>
      </c>
      <c r="F12" s="3" t="str">
        <f aca="false">VLOOKUP(E12,Lookup!$A:$C,2,FALSE())</f>
        <v>Survey</v>
      </c>
      <c r="G12" s="3" t="str">
        <f aca="false">VLOOKUP(E12,Lookup!$A:$C,3,FALSE())</f>
        <v>Country</v>
      </c>
      <c r="H12" s="1" t="n">
        <f aca="false">INDEX(Emp!$A$1:$J$4,3,9)</f>
        <v>5</v>
      </c>
    </row>
    <row r="13" customFormat="false" ht="13.5" hidden="false" customHeight="false" outlineLevel="0" collapsed="false">
      <c r="A13" s="1" t="n">
        <f aca="false">INDEX(Emp!A:A,3)</f>
        <v>2</v>
      </c>
      <c r="B13" s="1" t="n">
        <f aca="false">INDEX(Emp!B:B,3)</f>
        <v>2001</v>
      </c>
      <c r="C13" s="1" t="str">
        <f aca="false">INDEX(Emp!C:C,3)</f>
        <v>hari</v>
      </c>
      <c r="D13" s="1" t="n">
        <f aca="false">INDEX(Emp!D:D,3)</f>
        <v>21</v>
      </c>
      <c r="E13" s="3" t="str">
        <f aca="false">INDEX(Emp!$1:$1,1,10)</f>
        <v>performance</v>
      </c>
      <c r="F13" s="3" t="str">
        <f aca="false">VLOOKUP(E13,Lookup!$A:$C,2,FALSE())</f>
        <v>Survey</v>
      </c>
      <c r="G13" s="3" t="str">
        <f aca="false">VLOOKUP(E13,Lookup!$A:$C,3,FALSE())</f>
        <v>HEADQTR</v>
      </c>
      <c r="H13" s="1" t="n">
        <f aca="false">INDEX(Emp!$A$1:$J$4,3,10)</f>
        <v>2</v>
      </c>
    </row>
    <row r="14" customFormat="false" ht="13.5" hidden="false" customHeight="false" outlineLevel="0" collapsed="false">
      <c r="A14" s="1" t="n">
        <f aca="false">INDEX(Emp!A:A,4)</f>
        <v>3</v>
      </c>
      <c r="B14" s="1" t="n">
        <f aca="false">INDEX(Emp!B:B,4)</f>
        <v>2008</v>
      </c>
      <c r="C14" s="1" t="str">
        <f aca="false">INDEX(Emp!C:C,4)</f>
        <v>gopal</v>
      </c>
      <c r="D14" s="1" t="n">
        <f aca="false">INDEX(Emp!D:D,4)</f>
        <v>16</v>
      </c>
      <c r="E14" s="3" t="str">
        <f aca="false">INDEX(Emp!$1:$1,1,5)</f>
        <v>Comp1</v>
      </c>
      <c r="F14" s="3" t="str">
        <f aca="false">VLOOKUP(E14,Lookup!$A:$C,2,FALSE())</f>
        <v>Survey</v>
      </c>
      <c r="G14" s="3" t="str">
        <f aca="false">VLOOKUP(E14,Lookup!$A:$C,3,FALSE())</f>
        <v>Country</v>
      </c>
      <c r="H14" s="1" t="n">
        <f aca="false">INDEX(Emp!$A$1:$J$4,4,5)</f>
        <v>3</v>
      </c>
    </row>
    <row r="15" customFormat="false" ht="13.5" hidden="false" customHeight="false" outlineLevel="0" collapsed="false">
      <c r="A15" s="1" t="n">
        <f aca="false">INDEX(Emp!A:A,4)</f>
        <v>3</v>
      </c>
      <c r="B15" s="1" t="n">
        <f aca="false">INDEX(Emp!B:B,4)</f>
        <v>2008</v>
      </c>
      <c r="C15" s="1" t="str">
        <f aca="false">INDEX(Emp!C:C,4)</f>
        <v>gopal</v>
      </c>
      <c r="D15" s="1" t="n">
        <f aca="false">INDEX(Emp!D:D,4)</f>
        <v>16</v>
      </c>
      <c r="E15" s="3" t="str">
        <f aca="false">INDEX(Emp!$1:$1,1,6)</f>
        <v>2_comp</v>
      </c>
      <c r="F15" s="3" t="str">
        <f aca="false">VLOOKUP(E15,Lookup!$A:$C,2,FALSE())</f>
        <v>Survey</v>
      </c>
      <c r="G15" s="3" t="str">
        <f aca="false">VLOOKUP(E15,Lookup!$A:$C,3,FALSE())</f>
        <v>CONTINENT</v>
      </c>
      <c r="H15" s="1" t="n">
        <f aca="false">INDEX(Emp!$A$1:$J$4,4,6)</f>
        <v>2</v>
      </c>
    </row>
    <row r="16" customFormat="false" ht="13.5" hidden="false" customHeight="false" outlineLevel="0" collapsed="false">
      <c r="A16" s="1" t="n">
        <f aca="false">INDEX(Emp!A:A,4)</f>
        <v>3</v>
      </c>
      <c r="B16" s="1" t="n">
        <f aca="false">INDEX(Emp!B:B,4)</f>
        <v>2008</v>
      </c>
      <c r="C16" s="1" t="str">
        <f aca="false">INDEX(Emp!C:C,4)</f>
        <v>gopal</v>
      </c>
      <c r="D16" s="1" t="n">
        <f aca="false">INDEX(Emp!D:D,4)</f>
        <v>16</v>
      </c>
      <c r="E16" s="3" t="str">
        <f aca="false">INDEX(Emp!$1:$1,1,7)</f>
        <v>dept1</v>
      </c>
      <c r="F16" s="3" t="str">
        <f aca="false">VLOOKUP(E16,Lookup!$A:$C,2,FALSE())</f>
        <v>Survey</v>
      </c>
      <c r="G16" s="3" t="str">
        <f aca="false">VLOOKUP(E16,Lookup!$A:$C,3,FALSE())</f>
        <v>STATE</v>
      </c>
      <c r="H16" s="1" t="n">
        <f aca="false">INDEX(Emp!$A$1:$J$4,4,7)</f>
        <v>1</v>
      </c>
    </row>
    <row r="17" customFormat="false" ht="13.5" hidden="false" customHeight="false" outlineLevel="0" collapsed="false">
      <c r="A17" s="1" t="n">
        <f aca="false">INDEX(Emp!A:A,4)</f>
        <v>3</v>
      </c>
      <c r="B17" s="1" t="n">
        <f aca="false">INDEX(Emp!B:B,4)</f>
        <v>2008</v>
      </c>
      <c r="C17" s="1" t="str">
        <f aca="false">INDEX(Emp!C:C,4)</f>
        <v>gopal</v>
      </c>
      <c r="D17" s="1" t="n">
        <f aca="false">INDEX(Emp!D:D,4)</f>
        <v>16</v>
      </c>
      <c r="E17" s="3" t="str">
        <f aca="false">INDEX(Emp!$1:$1,1,8)</f>
        <v>avg sal</v>
      </c>
      <c r="F17" s="3" t="str">
        <f aca="false">VLOOKUP(E17,Lookup!$A:$C,2,FALSE())</f>
        <v>Survey</v>
      </c>
      <c r="G17" s="3" t="str">
        <f aca="false">VLOOKUP(E17,Lookup!$A:$C,3,FALSE())</f>
        <v>DISTRICT</v>
      </c>
      <c r="H17" s="1" t="n">
        <f aca="false">INDEX(Emp!$A$1:$J$4,4,8)</f>
        <v>1</v>
      </c>
    </row>
    <row r="18" customFormat="false" ht="13.5" hidden="false" customHeight="false" outlineLevel="0" collapsed="false">
      <c r="A18" s="1" t="n">
        <f aca="false">INDEX(Emp!A:A,4)</f>
        <v>3</v>
      </c>
      <c r="B18" s="1" t="n">
        <f aca="false">INDEX(Emp!B:B,4)</f>
        <v>2008</v>
      </c>
      <c r="C18" s="1" t="str">
        <f aca="false">INDEX(Emp!C:C,4)</f>
        <v>gopal</v>
      </c>
      <c r="D18" s="1" t="n">
        <f aca="false">INDEX(Emp!D:D,4)</f>
        <v>16</v>
      </c>
      <c r="E18" s="3" t="str">
        <f aca="false">INDEX(Emp!$1:$1,1,9)</f>
        <v>hike</v>
      </c>
      <c r="F18" s="3" t="str">
        <f aca="false">VLOOKUP(E18,Lookup!$A:$C,2,FALSE())</f>
        <v>Survey</v>
      </c>
      <c r="G18" s="3" t="str">
        <f aca="false">VLOOKUP(E18,Lookup!$A:$C,3,FALSE())</f>
        <v>Country</v>
      </c>
      <c r="H18" s="1" t="n">
        <f aca="false">INDEX(Emp!$A$1:$J$4,4,9)</f>
        <v>1</v>
      </c>
    </row>
    <row r="19" customFormat="false" ht="13.5" hidden="false" customHeight="false" outlineLevel="0" collapsed="false">
      <c r="A19" s="1" t="n">
        <f aca="false">INDEX(Emp!A:A,4)</f>
        <v>3</v>
      </c>
      <c r="B19" s="1" t="n">
        <f aca="false">INDEX(Emp!B:B,4)</f>
        <v>2008</v>
      </c>
      <c r="C19" s="1" t="str">
        <f aca="false">INDEX(Emp!C:C,4)</f>
        <v>gopal</v>
      </c>
      <c r="D19" s="1" t="n">
        <f aca="false">INDEX(Emp!D:D,4)</f>
        <v>16</v>
      </c>
      <c r="E19" s="3" t="str">
        <f aca="false">INDEX(Emp!$1:$1,1,10)</f>
        <v>performance</v>
      </c>
      <c r="F19" s="3" t="str">
        <f aca="false">VLOOKUP(E19,Lookup!$A:$C,2,FALSE())</f>
        <v>Survey</v>
      </c>
      <c r="G19" s="3" t="str">
        <f aca="false">VLOOKUP(E19,Lookup!$A:$C,3,FALSE())</f>
        <v>HEADQTR</v>
      </c>
      <c r="H19" s="1" t="n">
        <f aca="false">INDEX(Emp!$A$1:$J$4,4,10)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2020-11-25T14:01:36Z</dcterms:created>
  <dc:creator>Malyala,Ashok Kumar</dc:creator>
  <dc:description/>
  <dc:language>en-US</dc:language>
  <cp:lastModifiedBy>QINGHE CHEN</cp:lastModifiedBy>
  <dcterms:modified xsi:type="dcterms:W3CDTF">2026-09-05T17:45:20Z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0x0101004374027E93F4FE47B50AFA1422F48312</vt:lpwstr>
  </property>
</Properties>
</file>