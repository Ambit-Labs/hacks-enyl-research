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740" windowWidth="25600" windowHeight="16160" tabRatio="600" firstSheet="0" activeTab="0" autoFilterDateGrouping="1"/>
  </bookViews>
  <sheets>
    <sheet xmlns:r="http://schemas.openxmlformats.org/officeDocument/2006/relationships" name="Sheet1" sheetId="1" state="visible" r:id="rId1"/>
  </sheets>
  <definedNames>
    <definedName name="Rng_Name">Table1[PARTICIPANT_NAME]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9">
    <font>
      <name val="等线"/>
      <family val="2"/>
      <color theme="1"/>
      <sz val="11"/>
      <scheme val="minor"/>
    </font>
    <font>
      <name val="等线"/>
      <family val="2"/>
      <color theme="1"/>
      <sz val="11"/>
      <scheme val="minor"/>
    </font>
    <font>
      <name val="等线 Light"/>
      <family val="2"/>
      <color theme="3"/>
      <sz val="18"/>
      <scheme val="major"/>
    </font>
    <font>
      <name val="等线"/>
      <family val="2"/>
      <b val="1"/>
      <color theme="3"/>
      <sz val="15"/>
      <scheme val="minor"/>
    </font>
    <font>
      <name val="等线"/>
      <family val="2"/>
      <b val="1"/>
      <color theme="3"/>
      <sz val="13"/>
      <scheme val="minor"/>
    </font>
    <font>
      <name val="等线"/>
      <family val="2"/>
      <b val="1"/>
      <color theme="3"/>
      <sz val="11"/>
      <scheme val="minor"/>
    </font>
    <font>
      <name val="等线"/>
      <family val="2"/>
      <color rgb="FF006100"/>
      <sz val="11"/>
      <scheme val="minor"/>
    </font>
    <font>
      <name val="等线"/>
      <family val="2"/>
      <color rgb="FF9C0006"/>
      <sz val="11"/>
      <scheme val="minor"/>
    </font>
    <font>
      <name val="等线"/>
      <family val="2"/>
      <color rgb="FF9C5700"/>
      <sz val="11"/>
      <scheme val="minor"/>
    </font>
    <font>
      <name val="等线"/>
      <family val="2"/>
      <color rgb="FF3F3F76"/>
      <sz val="11"/>
      <scheme val="minor"/>
    </font>
    <font>
      <name val="等线"/>
      <family val="2"/>
      <b val="1"/>
      <color rgb="FF3F3F3F"/>
      <sz val="11"/>
      <scheme val="minor"/>
    </font>
    <font>
      <name val="等线"/>
      <family val="2"/>
      <b val="1"/>
      <color rgb="FFFA7D00"/>
      <sz val="11"/>
      <scheme val="minor"/>
    </font>
    <font>
      <name val="等线"/>
      <family val="2"/>
      <color rgb="FFFA7D00"/>
      <sz val="11"/>
      <scheme val="minor"/>
    </font>
    <font>
      <name val="等线"/>
      <family val="2"/>
      <b val="1"/>
      <color theme="0"/>
      <sz val="11"/>
      <scheme val="minor"/>
    </font>
    <font>
      <name val="等线"/>
      <family val="2"/>
      <color rgb="FFFF0000"/>
      <sz val="11"/>
      <scheme val="minor"/>
    </font>
    <font>
      <name val="等线"/>
      <family val="2"/>
      <i val="1"/>
      <color rgb="FF7F7F7F"/>
      <sz val="11"/>
      <scheme val="minor"/>
    </font>
    <font>
      <name val="等线"/>
      <family val="2"/>
      <b val="1"/>
      <color theme="1"/>
      <sz val="11"/>
      <scheme val="minor"/>
    </font>
    <font>
      <name val="等线"/>
      <family val="2"/>
      <color theme="0"/>
      <sz val="11"/>
      <scheme val="minor"/>
    </font>
    <font>
      <name val="等线"/>
      <family val="2"/>
      <sz val="8"/>
      <scheme val="minor"/>
    </font>
  </fonts>
  <fills count="35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</fills>
  <borders count="13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theme="4" tint="0.3999755851924192"/>
      </left>
      <right/>
      <top style="thin">
        <color theme="4" tint="0.3999755851924192"/>
      </top>
      <bottom/>
      <diagonal/>
    </border>
    <border>
      <left/>
      <right/>
      <top style="thin">
        <color theme="4" tint="0.3999755851924192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14">
    <xf numFmtId="0" fontId="0" fillId="0" borderId="0" pivotButton="0" quotePrefix="0" xfId="0"/>
    <xf numFmtId="0" fontId="13" fillId="33" borderId="10" pivotButton="0" quotePrefix="0" xfId="0"/>
    <xf numFmtId="0" fontId="13" fillId="33" borderId="11" pivotButton="0" quotePrefix="0" xfId="0"/>
    <xf numFmtId="0" fontId="0" fillId="34" borderId="11" pivotButton="0" quotePrefix="0" xfId="0"/>
    <xf numFmtId="14" fontId="0" fillId="34" borderId="11" pivotButton="0" quotePrefix="0" xfId="0"/>
    <xf numFmtId="0" fontId="13" fillId="33" borderId="0" pivotButton="0" quotePrefix="0" xfId="0"/>
    <xf numFmtId="0" fontId="0" fillId="0" borderId="11" pivotButton="0" quotePrefix="0" xfId="0"/>
    <xf numFmtId="14" fontId="0" fillId="0" borderId="11" pivotButton="0" quotePrefix="0" xfId="0"/>
    <xf numFmtId="0" fontId="13" fillId="0" borderId="0" pivotButton="0" quotePrefix="0" xfId="0"/>
    <xf numFmtId="14" fontId="0" fillId="0" borderId="0" pivotButton="0" quotePrefix="0" xfId="0"/>
    <xf numFmtId="0" fontId="0" fillId="34" borderId="12" pivotButton="0" quotePrefix="0" xfId="0"/>
    <xf numFmtId="14" fontId="0" fillId="34" borderId="12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</cellXfs>
  <cellStyles count="42">
    <cellStyle name="常规" xfId="0" builtinId="0"/>
    <cellStyle name="标题" xfId="1" builtinId="15"/>
    <cellStyle name="标题 1" xfId="2" builtinId="16"/>
    <cellStyle name="标题 2" xfId="3" builtinId="17"/>
    <cellStyle name="标题 3" xfId="4" builtinId="18"/>
    <cellStyle name="标题 4" xfId="5" builtinId="19"/>
    <cellStyle name="好" xfId="6" builtinId="26"/>
    <cellStyle name="差" xfId="7" builtinId="27"/>
    <cellStyle name="适中" xfId="8" builtinId="28"/>
    <cellStyle name="输入" xfId="9" builtinId="20"/>
    <cellStyle name="输出" xfId="10" builtinId="21"/>
    <cellStyle name="计算" xfId="11" builtinId="22"/>
    <cellStyle name="链接单元格" xfId="12" builtinId="24"/>
    <cellStyle name="检查单元格" xfId="13" builtinId="23"/>
    <cellStyle name="警告文本" xfId="14" builtinId="11"/>
    <cellStyle name="注释" xfId="15" builtinId="10"/>
    <cellStyle name="解释性文本" xfId="16" builtinId="53"/>
    <cellStyle name="汇总" xfId="17" builtinId="25"/>
    <cellStyle name="着色 1" xfId="18" builtinId="29"/>
    <cellStyle name="20% - 着色 1" xfId="19" builtinId="30"/>
    <cellStyle name="40% - 着色 1" xfId="20" builtinId="31"/>
    <cellStyle name="60% - 着色 1" xfId="21" builtinId="32"/>
    <cellStyle name="着色 2" xfId="22" builtinId="33"/>
    <cellStyle name="20% - 着色 2" xfId="23" builtinId="34"/>
    <cellStyle name="40% - 着色 2" xfId="24" builtinId="35"/>
    <cellStyle name="60% - 着色 2" xfId="25" builtinId="36"/>
    <cellStyle name="着色 3" xfId="26" builtinId="37"/>
    <cellStyle name="20% - 着色 3" xfId="27" builtinId="38"/>
    <cellStyle name="40% - 着色 3" xfId="28" builtinId="39"/>
    <cellStyle name="60% - 着色 3" xfId="29" builtinId="40"/>
    <cellStyle name="着色 4" xfId="30" builtinId="41"/>
    <cellStyle name="20% - 着色 4" xfId="31" builtinId="42"/>
    <cellStyle name="40% - 着色 4" xfId="32" builtinId="43"/>
    <cellStyle name="60% - 着色 4" xfId="33" builtinId="44"/>
    <cellStyle name="着色 5" xfId="34" builtinId="45"/>
    <cellStyle name="20% - 着色 5" xfId="35" builtinId="46"/>
    <cellStyle name="40% - 着色 5" xfId="36" builtinId="47"/>
    <cellStyle name="60% - 着色 5" xfId="37" builtinId="48"/>
    <cellStyle name="着色 6" xfId="38" builtinId="49"/>
    <cellStyle name="20% - 着色 6" xfId="39" builtinId="50"/>
    <cellStyle name="40% - 着色 6" xfId="40" builtinId="51"/>
    <cellStyle name="60% - 着色 6" xfId="41" builtinId="52"/>
  </cellStyles>
  <dxfs count="14"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76" formatCode="d/mm/yyyy"/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  <bottom style="thin">
          <color theme="4" tint="0.3999755851924192"/>
        </bottom>
      </border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numFmt numFmtId="176" formatCode="d/mm/yyyy"/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</border>
    </dxf>
    <dxf>
      <fill>
        <patternFill patternType="solid">
          <fgColor theme="4" tint="0.7999816888943144"/>
          <bgColor theme="4" tint="0.7999816888943144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  <dxf>
      <numFmt numFmtId="176" formatCode="d/mm/yyyy"/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fill>
        <patternFill patternType="solid">
          <fgColor theme="4" tint="0.7999816888943144"/>
          <bgColor theme="4" tint="0.7999816888943144"/>
        </patternFill>
      </fill>
      <border>
        <left/>
        <right/>
        <top style="thin">
          <color theme="4" tint="0.3999755851924192"/>
        </top>
        <bottom/>
        <vertical/>
        <horizontal/>
      </border>
    </dxf>
    <dxf>
      <border outline="0">
        <left style="thin">
          <color theme="4" tint="0.3999755851924192"/>
        </left>
        <right style="thin">
          <color theme="4" tint="0.3999755851924192"/>
        </right>
        <top style="thin">
          <color theme="4" tint="0.3999755851924192"/>
        </top>
      </border>
    </dxf>
    <dxf>
      <fill>
        <patternFill patternType="solid">
          <fgColor theme="4" tint="0.7999816888943144"/>
          <bgColor theme="4" tint="0.7999816888943144"/>
        </patternFill>
      </fill>
    </dxf>
    <dxf>
      <font>
        <name val="Calibri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theme="4"/>
          <bgColor theme="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1" displayName="Table1" ref="A3:B6" headerRowCount="1" totalsRowShown="0" headerRowDxfId="13" dataDxfId="12" tableBorderDxfId="11">
  <autoFilter ref="A3:B6"/>
  <tableColumns count="2">
    <tableColumn id="1" name="PARTICIPANT_NAME" dataDxfId="10"/>
    <tableColumn id="2" name="START_DATE" dataDxfId="9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0:B13" headerRowCount="1" totalsRowShown="0" headerRowDxfId="8" dataDxfId="7" tableBorderDxfId="6">
  <autoFilter ref="A10:B13"/>
  <tableColumns count="2">
    <tableColumn id="1" name="PARTICIPANT_NAME" dataDxfId="5"/>
    <tableColumn id="2" name="START_DATE" dataDxfId="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9:B22" headerRowCount="1" totalsRowShown="0" headerRowDxfId="3" tableBorderDxfId="2">
  <autoFilter ref="A19:B22"/>
  <tableColumns count="2">
    <tableColumn id="1" name="PARTICIPANT_NAME" dataDxfId="1"/>
    <tableColumn id="2" name="START_DATE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2"/>
  <sheetViews>
    <sheetView tabSelected="1" zoomScale="90" zoomScaleNormal="90" workbookViewId="0">
      <selection activeCell="H21" sqref="H21"/>
    </sheetView>
  </sheetViews>
  <sheetFormatPr baseColWidth="10" defaultColWidth="8.83203125" defaultRowHeight="15"/>
  <cols>
    <col width="27.5" bestFit="1" customWidth="1" min="1" max="1"/>
    <col width="14.33203125" bestFit="1" customWidth="1" min="2" max="2"/>
    <col width="5.5" customWidth="1" min="3" max="3"/>
    <col width="19.5" bestFit="1" customWidth="1" min="4" max="4"/>
    <col width="27.83203125" bestFit="1" customWidth="1" min="5" max="5"/>
    <col width="5.5" customWidth="1" min="6" max="6"/>
    <col width="11.33203125" customWidth="1" min="7" max="7"/>
    <col width="43" customWidth="1" min="8" max="8"/>
    <col width="2.83203125" customWidth="1" min="9" max="9"/>
  </cols>
  <sheetData>
    <row r="1">
      <c r="A1" s="13" t="inlineStr">
        <is>
          <t>Works But with Issues</t>
        </is>
      </c>
    </row>
    <row r="3">
      <c r="A3" s="5" t="inlineStr">
        <is>
          <t>PARTICIPANT_NAME</t>
        </is>
      </c>
      <c r="B3" s="5" t="inlineStr">
        <is>
          <t>START_DATE</t>
        </is>
      </c>
      <c r="D3" s="1" t="inlineStr">
        <is>
          <t>PARTICIPANT_NAME</t>
        </is>
      </c>
      <c r="E3" s="2" t="inlineStr">
        <is>
          <t>START_DATE</t>
        </is>
      </c>
      <c r="F3" s="8" t="n"/>
    </row>
    <row r="4">
      <c r="A4" s="3" t="inlineStr">
        <is>
          <t>Person 1</t>
        </is>
      </c>
      <c r="B4" s="4" t="n">
        <v>44377</v>
      </c>
      <c r="D4" s="10" t="inlineStr">
        <is>
          <t>Person 1</t>
        </is>
      </c>
      <c r="E4" s="11" t="n">
        <v>44377</v>
      </c>
      <c r="F4" s="9" t="n"/>
      <c r="G4">
        <f>IF(COUNTIF(Table1[PARTICIPANT_NAME],D4),VLOOKUP(D4,Table1,2,FALSE)&gt;=E4,"")</f>
        <v/>
      </c>
    </row>
    <row r="5">
      <c r="A5" s="3" t="inlineStr">
        <is>
          <t>Person 2</t>
        </is>
      </c>
      <c r="B5" s="4" t="n">
        <v>44377</v>
      </c>
      <c r="D5" s="10" t="inlineStr">
        <is>
          <t>Person 2</t>
        </is>
      </c>
      <c r="E5" s="11" t="n">
        <v>44377</v>
      </c>
      <c r="F5" s="9" t="n"/>
      <c r="G5">
        <f>IF(COUNTIF(Table1[PARTICIPANT_NAME],D5),VLOOKUP(D5,Table1,2,FALSE)&gt;=E5,"")</f>
        <v/>
      </c>
    </row>
    <row r="6">
      <c r="A6" s="3" t="inlineStr">
        <is>
          <t>Person 3</t>
        </is>
      </c>
      <c r="B6" s="4" t="n">
        <v>44378</v>
      </c>
      <c r="D6" s="10" t="inlineStr">
        <is>
          <t>Person 3</t>
        </is>
      </c>
      <c r="E6" s="11" t="n">
        <v>44743</v>
      </c>
      <c r="F6" s="9" t="n"/>
      <c r="G6">
        <f>IF(COUNTIF(Table1[PARTICIPANT_NAME],D6),VLOOKUP(D6,Table1,2,FALSE)&gt;=E6,"")</f>
        <v/>
      </c>
    </row>
    <row r="7">
      <c r="A7" s="6" t="n"/>
      <c r="B7" s="7" t="n"/>
      <c r="C7" s="7" t="n"/>
    </row>
    <row r="8">
      <c r="A8" s="12" t="inlineStr">
        <is>
          <t>Need To Have It As</t>
        </is>
      </c>
    </row>
    <row r="10">
      <c r="A10" s="5" t="inlineStr">
        <is>
          <t>PARTICIPANT_NAME</t>
        </is>
      </c>
      <c r="B10" s="5" t="inlineStr">
        <is>
          <t>START_DATE</t>
        </is>
      </c>
      <c r="D10" s="1" t="inlineStr">
        <is>
          <t>PARTICIPANT_NAME</t>
        </is>
      </c>
      <c r="E10" s="2" t="inlineStr">
        <is>
          <t>START_DATE</t>
        </is>
      </c>
      <c r="F10" s="8" t="n"/>
    </row>
    <row r="11">
      <c r="A11" s="3" t="inlineStr">
        <is>
          <t>Person 1</t>
        </is>
      </c>
      <c r="B11" s="4" t="n">
        <v>44377</v>
      </c>
      <c r="D11" s="10" t="inlineStr">
        <is>
          <t>Person 2</t>
        </is>
      </c>
      <c r="E11" s="11" t="n">
        <v>44377</v>
      </c>
      <c r="F11" s="9" t="n"/>
      <c r="G11">
        <f>IF(COUNTIF(Table2[PARTICIPANT_NAME],D11),VLOOKUP(D11,Table2,2,FALSE)&gt;=E11,"")</f>
        <v/>
      </c>
    </row>
    <row r="12">
      <c r="A12" s="3" t="inlineStr">
        <is>
          <t>Person 2</t>
        </is>
      </c>
      <c r="B12" s="4" t="n">
        <v>44377</v>
      </c>
      <c r="D12" s="10" t="inlineStr">
        <is>
          <t>Person 3</t>
        </is>
      </c>
      <c r="E12" s="11" t="n">
        <v>44743</v>
      </c>
      <c r="F12" s="9" t="n"/>
      <c r="G12">
        <f>IF(COUNTIF(Table2[PARTICIPANT_NAME],D12),VLOOKUP(D12,Table2,2,FALSE)&gt;=E12,"")</f>
        <v/>
      </c>
    </row>
    <row r="13">
      <c r="A13" s="3" t="inlineStr">
        <is>
          <t>Person 3</t>
        </is>
      </c>
      <c r="B13" s="4" t="n">
        <v>44378</v>
      </c>
      <c r="D13" s="10" t="inlineStr">
        <is>
          <t>Person 1</t>
        </is>
      </c>
      <c r="E13" s="11" t="n">
        <v>44377</v>
      </c>
      <c r="F13" s="9" t="n"/>
      <c r="G13">
        <f>IF(COUNTIF(Table2[PARTICIPANT_NAME],D13),VLOOKUP(D13,Table2,2,FALSE)&gt;=E13,"")</f>
        <v/>
      </c>
    </row>
    <row r="14">
      <c r="A14" s="6" t="n"/>
      <c r="B14" s="7" t="n"/>
      <c r="C14" s="7" t="n"/>
    </row>
    <row r="17">
      <c r="A17" s="12" t="inlineStr">
        <is>
          <t>New Formula</t>
        </is>
      </c>
    </row>
    <row r="19">
      <c r="A19" s="5" t="inlineStr">
        <is>
          <t>PARTICIPANT_NAME</t>
        </is>
      </c>
      <c r="B19" s="5" t="inlineStr">
        <is>
          <t>START_DATE</t>
        </is>
      </c>
      <c r="D19" s="1" t="inlineStr">
        <is>
          <t>PARTICIPANT_NAME</t>
        </is>
      </c>
      <c r="E19" s="2" t="inlineStr">
        <is>
          <t>START_DATE</t>
        </is>
      </c>
      <c r="F19" s="8" t="n"/>
    </row>
    <row r="20">
      <c r="A20" s="3" t="inlineStr">
        <is>
          <t>Person 1</t>
        </is>
      </c>
      <c r="B20" s="4" t="n">
        <v>44377</v>
      </c>
      <c r="D20" s="10" t="inlineStr">
        <is>
          <t>Person 2</t>
        </is>
      </c>
      <c r="E20" s="11" t="n">
        <v>44377</v>
      </c>
      <c r="F20" s="9" t="n"/>
      <c r="G20">
        <f>IF(COUNTIF(Table3[PARTICIPANT_NAME],D20),VLOOKUP(D20,Table3,2,FALSE)&gt;=E20,"")</f>
        <v/>
      </c>
    </row>
    <row r="21">
      <c r="A21" s="3" t="inlineStr">
        <is>
          <t>Person 2</t>
        </is>
      </c>
      <c r="B21" s="4" t="n">
        <v>44377</v>
      </c>
      <c r="D21" s="10" t="inlineStr">
        <is>
          <t>Person 3</t>
        </is>
      </c>
      <c r="E21" s="11" t="n">
        <v>44743</v>
      </c>
      <c r="F21" s="9" t="n"/>
      <c r="G21">
        <f>IF(COUNTIF(Table3[PARTICIPANT_NAME],D21),VLOOKUP(D21,Table3,2,FALSE)&gt;=E21,"")</f>
        <v/>
      </c>
    </row>
    <row r="22">
      <c r="A22" s="3" t="inlineStr">
        <is>
          <t>Person 3</t>
        </is>
      </c>
      <c r="B22" s="4" t="n">
        <v>44378</v>
      </c>
      <c r="D22" s="10" t="inlineStr">
        <is>
          <t>Person 1</t>
        </is>
      </c>
      <c r="E22" s="11" t="n">
        <v>44377</v>
      </c>
      <c r="F22" s="9" t="n"/>
      <c r="G22">
        <f>IF(COUNTIF(Table3[PARTICIPANT_NAME],D22),VLOOKUP(D22,Table3,2,FALSE)&gt;=E22,"")</f>
        <v/>
      </c>
    </row>
  </sheetData>
  <mergeCells count="3">
    <mergeCell ref="A1:E1"/>
    <mergeCell ref="A17:E17"/>
    <mergeCell ref="A8:E8"/>
  </mergeCells>
  <pageMargins left="0.7" right="0.7" top="0.75" bottom="0.75" header="0.3" footer="0.3"/>
  <pageSetup orientation="portrait" paperSize="9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2022-03-07T02:26:54Z</dcterms:created>
  <dcterms:modified xmlns:dcterms="http://purl.org/dc/terms/" xmlns:xsi="http://www.w3.org/2001/XMLSchema-instance" xsi:type="dcterms:W3CDTF">2026-09-05T17:59:42Z</dcterms:modified>
  <cp:lastModifiedBy>T T</cp:lastModifiedBy>
</cp:coreProperties>
</file>