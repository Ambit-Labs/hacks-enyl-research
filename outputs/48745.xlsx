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52" yWindow="720" windowWidth="11532" windowHeight="1224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等线"/>
      <family val="2"/>
      <color theme="1"/>
      <sz val="11"/>
      <scheme val="minor"/>
    </font>
    <font>
      <name val="等线"/>
      <family val="2"/>
      <sz val="11"/>
      <scheme val="minor"/>
    </font>
    <font>
      <name val="等线"/>
      <family val="2"/>
      <b val="1"/>
      <color rgb="FFFF0000"/>
      <sz val="11"/>
      <scheme val="minor"/>
    </font>
    <font>
      <name val="等线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4:H10"/>
  <sheetViews>
    <sheetView tabSelected="1" workbookViewId="0">
      <selection activeCell="G3" sqref="G3"/>
    </sheetView>
  </sheetViews>
  <sheetFormatPr baseColWidth="8" defaultRowHeight="13.8"/>
  <cols>
    <col width="16.5546875" bestFit="1" customWidth="1" min="3" max="3"/>
  </cols>
  <sheetData>
    <row r="4">
      <c r="G4" s="1" t="inlineStr">
        <is>
          <t>Lookup Table</t>
        </is>
      </c>
    </row>
    <row r="5">
      <c r="C5" s="2" t="inlineStr">
        <is>
          <t>PRD1;</t>
        </is>
      </c>
      <c r="D5" s="4">
        <f>IF(AND(SUMPRODUCT(--(IFERROR(VLOOKUP(TRIM(MID(SUBSTITUTE(C5,";",REPT(" ",100)),{1;101;201},100)),$G$5:$H$10,2,FALSE),"")="Group 1"))&gt;0,SUMPRODUCT(--(IFERROR(VLOOKUP(TRIM(MID(SUBSTITUTE(C5,";",REPT(" ",100)),{1;101;201},100)),$G$5:$H$10,2,FALSE),"")="Group 2"))&gt;0),"Group 1, Group 2",IF(SUMPRODUCT(--(IFERROR(VLOOKUP(TRIM(MID(SUBSTITUTE(C5,";",REPT(" ",100)),{1;101;201},100)),$G$5:$H$10,2,FALSE),"")="Group 1"))&gt;0,"Group 1",IF(SUMPRODUCT(--(IFERROR(VLOOKUP(TRIM(MID(SUBSTITUTE(C5,";",REPT(" ",100)),{1;101;201},100)),$G$5:$H$10,2,FALSE),"")="Group 2"))&gt;0,"Group 2","")))</f>
        <v/>
      </c>
      <c r="G5" s="2" t="inlineStr">
        <is>
          <t>PRD1</t>
        </is>
      </c>
      <c r="H5" s="3" t="inlineStr">
        <is>
          <t>Group 1</t>
        </is>
      </c>
    </row>
    <row r="6">
      <c r="C6" s="2" t="inlineStr">
        <is>
          <t>PRD2;PRD1</t>
        </is>
      </c>
      <c r="D6" s="4">
        <f>IF(AND(SUMPRODUCT(--(IFERROR(VLOOKUP(TRIM(MID(SUBSTITUTE(C6,";",REPT(" ",100)),{1;101;201},100)),$G$5:$H$10,2,FALSE),"")="Group 1"))&gt;0,SUMPRODUCT(--(IFERROR(VLOOKUP(TRIM(MID(SUBSTITUTE(C6,";",REPT(" ",100)),{1;101;201},100)),$G$5:$H$10,2,FALSE),"")="Group 2"))&gt;0),"Group 1, Group 2",IF(SUMPRODUCT(--(IFERROR(VLOOKUP(TRIM(MID(SUBSTITUTE(C6,";",REPT(" ",100)),{1;101;201},100)),$G$5:$H$10,2,FALSE),"")="Group 1"))&gt;0,"Group 1",IF(SUMPRODUCT(--(IFERROR(VLOOKUP(TRIM(MID(SUBSTITUTE(C6,";",REPT(" ",100)),{1;101;201},100)),$G$5:$H$10,2,FALSE),"")="Group 2"))&gt;0,"Group 2","")))</f>
        <v/>
      </c>
      <c r="G6" s="2" t="inlineStr">
        <is>
          <t>PRD2</t>
        </is>
      </c>
      <c r="H6" s="3" t="inlineStr">
        <is>
          <t>Group 1</t>
        </is>
      </c>
    </row>
    <row r="7">
      <c r="C7" s="2" t="inlineStr">
        <is>
          <t>PRD4;</t>
        </is>
      </c>
      <c r="D7" s="4">
        <f>IF(AND(SUMPRODUCT(--(IFERROR(VLOOKUP(TRIM(MID(SUBSTITUTE(C7,";",REPT(" ",100)),{1;101;201},100)),$G$5:$H$10,2,FALSE),"")="Group 1"))&gt;0,SUMPRODUCT(--(IFERROR(VLOOKUP(TRIM(MID(SUBSTITUTE(C7,";",REPT(" ",100)),{1;101;201},100)),$G$5:$H$10,2,FALSE),"")="Group 2"))&gt;0),"Group 1, Group 2",IF(SUMPRODUCT(--(IFERROR(VLOOKUP(TRIM(MID(SUBSTITUTE(C7,";",REPT(" ",100)),{1;101;201},100)),$G$5:$H$10,2,FALSE),"")="Group 1"))&gt;0,"Group 1",IF(SUMPRODUCT(--(IFERROR(VLOOKUP(TRIM(MID(SUBSTITUTE(C7,";",REPT(" ",100)),{1;101;201},100)),$G$5:$H$10,2,FALSE),"")="Group 2"))&gt;0,"Group 2","")))</f>
        <v/>
      </c>
      <c r="G7" s="2" t="inlineStr">
        <is>
          <t>PRD3</t>
        </is>
      </c>
      <c r="H7" s="3" t="inlineStr">
        <is>
          <t>Group 1</t>
        </is>
      </c>
    </row>
    <row r="8">
      <c r="C8" s="2" t="inlineStr">
        <is>
          <t>PRD5;PRD6</t>
        </is>
      </c>
      <c r="D8" s="4">
        <f>IF(AND(SUMPRODUCT(--(IFERROR(VLOOKUP(TRIM(MID(SUBSTITUTE(C8,";",REPT(" ",100)),{1;101;201},100)),$G$5:$H$10,2,FALSE),"")="Group 1"))&gt;0,SUMPRODUCT(--(IFERROR(VLOOKUP(TRIM(MID(SUBSTITUTE(C8,";",REPT(" ",100)),{1;101;201},100)),$G$5:$H$10,2,FALSE),"")="Group 2"))&gt;0),"Group 1, Group 2",IF(SUMPRODUCT(--(IFERROR(VLOOKUP(TRIM(MID(SUBSTITUTE(C8,";",REPT(" ",100)),{1;101;201},100)),$G$5:$H$10,2,FALSE),"")="Group 1"))&gt;0,"Group 1",IF(SUMPRODUCT(--(IFERROR(VLOOKUP(TRIM(MID(SUBSTITUTE(C8,";",REPT(" ",100)),{1;101;201},100)),$G$5:$H$10,2,FALSE),"")="Group 2"))&gt;0,"Group 2","")))</f>
        <v/>
      </c>
      <c r="G8" s="2" t="inlineStr">
        <is>
          <t>PRD4</t>
        </is>
      </c>
      <c r="H8" s="3" t="inlineStr">
        <is>
          <t>Group 2</t>
        </is>
      </c>
    </row>
    <row r="9">
      <c r="C9" s="2" t="inlineStr">
        <is>
          <t>PRD1;PRD4;PRD5</t>
        </is>
      </c>
      <c r="D9" s="4">
        <f>IF(AND(SUMPRODUCT(--(IFERROR(VLOOKUP(TRIM(MID(SUBSTITUTE(C9,";",REPT(" ",100)),{1;101;201},100)),$G$5:$H$10,2,FALSE),"")="Group 1"))&gt;0,SUMPRODUCT(--(IFERROR(VLOOKUP(TRIM(MID(SUBSTITUTE(C9,";",REPT(" ",100)),{1;101;201},100)),$G$5:$H$10,2,FALSE),"")="Group 2"))&gt;0),"Group 1, Group 2",IF(SUMPRODUCT(--(IFERROR(VLOOKUP(TRIM(MID(SUBSTITUTE(C9,";",REPT(" ",100)),{1;101;201},100)),$G$5:$H$10,2,FALSE),"")="Group 1"))&gt;0,"Group 1",IF(SUMPRODUCT(--(IFERROR(VLOOKUP(TRIM(MID(SUBSTITUTE(C9,";",REPT(" ",100)),{1;101;201},100)),$G$5:$H$10,2,FALSE),"")="Group 2"))&gt;0,"Group 2","")))</f>
        <v/>
      </c>
      <c r="G9" s="2" t="inlineStr">
        <is>
          <t>PRD5</t>
        </is>
      </c>
      <c r="H9" s="3" t="inlineStr">
        <is>
          <t>Group 2</t>
        </is>
      </c>
    </row>
    <row r="10">
      <c r="C10" s="2" t="inlineStr">
        <is>
          <t>PRD1;PRD6</t>
        </is>
      </c>
      <c r="D10" s="4">
        <f>IF(AND(SUMPRODUCT(--(IFERROR(VLOOKUP(TRIM(MID(SUBSTITUTE(C10,";",REPT(" ",100)),{1;101;201},100)),$G$5:$H$10,2,FALSE),"")="Group 1"))&gt;0,SUMPRODUCT(--(IFERROR(VLOOKUP(TRIM(MID(SUBSTITUTE(C10,";",REPT(" ",100)),{1;101;201},100)),$G$5:$H$10,2,FALSE),"")="Group 2"))&gt;0),"Group 1, Group 2",IF(SUMPRODUCT(--(IFERROR(VLOOKUP(TRIM(MID(SUBSTITUTE(C10,";",REPT(" ",100)),{1;101;201},100)),$G$5:$H$10,2,FALSE),"")="Group 1"))&gt;0,"Group 1",IF(SUMPRODUCT(--(IFERROR(VLOOKUP(TRIM(MID(SUBSTITUTE(C10,";",REPT(" ",100)),{1;101;201},100)),$G$5:$H$10,2,FALSE),"")="Group 2"))&gt;0,"Group 2","")))</f>
        <v/>
      </c>
      <c r="G10" s="2" t="inlineStr">
        <is>
          <t>PRD6</t>
        </is>
      </c>
      <c r="H10" s="3" t="inlineStr">
        <is>
          <t>Group 2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Critchley, Jase</dc:creator>
  <dcterms:created xmlns:dcterms="http://purl.org/dc/terms/" xmlns:xsi="http://www.w3.org/2001/XMLSchema-instance" xsi:type="dcterms:W3CDTF">2021-12-15T10:34:05Z</dcterms:created>
  <dcterms:modified xmlns:dcterms="http://purl.org/dc/terms/" xmlns:xsi="http://www.w3.org/2001/XMLSchema-instance" xsi:type="dcterms:W3CDTF">2026-09-05T17:51:07Z</dcterms:modified>
  <cp:lastModifiedBy>则潼 王</cp:lastModifiedBy>
</cp:coreProperties>
</file>