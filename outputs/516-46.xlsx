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ورقة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<sst xmlns="http://schemas.openxmlformats.org/spreadsheetml/2006/main" count="34" uniqueCount="14">
  <si>
    <t xml:space="preserve">date</t>
  </si>
  <si>
    <t xml:space="preserve">brand</t>
  </si>
  <si>
    <t xml:space="preserve">batch</t>
  </si>
  <si>
    <t xml:space="preserve">origin</t>
  </si>
  <si>
    <t xml:space="preserve">quantity</t>
  </si>
  <si>
    <t xml:space="preserve">camera</t>
  </si>
  <si>
    <t xml:space="preserve">ca-1001</t>
  </si>
  <si>
    <t xml:space="preserve">chi</t>
  </si>
  <si>
    <t xml:space="preserve">film</t>
  </si>
  <si>
    <t xml:space="preserve">ca-1002</t>
  </si>
  <si>
    <t xml:space="preserve">eur</t>
  </si>
  <si>
    <t xml:space="preserve">scanner</t>
  </si>
  <si>
    <t xml:space="preserve">ca-1003</t>
  </si>
  <si>
    <t xml:space="preserve">thi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</si>
</sst>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5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5" tint="0.3999"/>
        <bgColor rgb="FFFF99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نسق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3" activeCellId="0" sqref="H3"/>
    </sheetView>
  </sheetViews>
  <sheetFormatPr defaultColWidth="8.5390625" defaultRowHeight="13.5" customHeight="false" zeroHeight="false" outlineLevelRow="0" outlineLevelCol="0"/>
  <cols>
    <col collapsed="false" customWidth="true" hidden="false" outlineLevel="0" max="1" min="1" style="1" width="13.16"/>
    <col collapsed="false" customWidth="true" hidden="false" outlineLevel="0" max="8" min="8" style="1" width="12"/>
  </cols>
  <sheetData>
    <row r="1" customFormat="false" ht="13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H1" s="2" t="s">
        <v>0</v>
      </c>
      <c r="I1" s="2" t="s">
        <v>1</v>
      </c>
      <c r="J1" s="2" t="s">
        <v>2</v>
      </c>
      <c r="K1" s="2" t="s">
        <v>3</v>
      </c>
      <c r="L1" s="2" t="s">
        <v>4</v>
      </c>
    </row>
    <row r="2" customFormat="false" ht="13.5" hidden="false" customHeight="true" outlineLevel="0" collapsed="false">
      <c r="A2" s="3" t="n">
        <v>43831</v>
      </c>
      <c r="B2" s="1" t="s">
        <v>5</v>
      </c>
      <c r="C2" s="1" t="s">
        <v>6</v>
      </c>
      <c r="D2" s="1" t="s">
        <v>7</v>
      </c>
      <c r="E2" s="1" t="n">
        <v>10</v>
      </c>
      <c r="H2" s="3" t="n">
        <f aca="false">_xlfn.MAXIFS($A$2:$A$8,$B$2:$B$8,I2)</f>
        <v>43832</v>
      </c>
      <c r="I2" s="1" t="s">
        <v>5</v>
      </c>
      <c r="J2" s="1" t="str">
        <f aca="false">INDEX($C$2:$C$8,MATCH(1,($B$2:$B$8=I2)*($A$2:$A$8=H2),0))</f>
        <v>ca-1001</v>
      </c>
      <c r="K2" s="1" t="str">
        <f aca="false">INDEX($D$2:$D$8,MATCH(1,($B$2:$B$8=I2)*($A$2:$A$8=H2),0))</f>
        <v>chi</v>
      </c>
      <c r="L2" s="1" t="n">
        <f aca="false">SUMIFS($E$2:$E$8,$B$2:$B$8,I2,$A$2:$A$8,H2)</f>
        <v>20</v>
      </c>
    </row>
    <row r="3" customFormat="false" ht="13.5" hidden="false" customHeight="true" outlineLevel="0" collapsed="false">
      <c r="A3" s="3" t="n">
        <v>43832</v>
      </c>
      <c r="B3" s="1" t="s">
        <v>5</v>
      </c>
      <c r="C3" s="1" t="s">
        <v>6</v>
      </c>
      <c r="D3" s="1" t="s">
        <v>7</v>
      </c>
      <c r="E3" s="1" t="n">
        <v>20</v>
      </c>
      <c r="H3" s="3" t="n">
        <f aca="false">_xlfn.MAXIFS($A$2:$A$8,$B$2:$B$8,I3)</f>
        <v>43835</v>
      </c>
      <c r="I3" s="1" t="s">
        <v>8</v>
      </c>
      <c r="J3" s="1" t="str">
        <f aca="false">INDEX($C$2:$C$8,MATCH(1,($B$2:$B$8=I3)*($A$2:$A$8=H3),0))</f>
        <v>ca-1002</v>
      </c>
      <c r="K3" s="1" t="str">
        <f aca="false">INDEX($D$2:$D$8,MATCH(1,($B$2:$B$8=I3)*($A$2:$A$8=H3),0))</f>
        <v>eur</v>
      </c>
      <c r="L3" s="1" t="n">
        <f aca="false">SUMIFS($E$2:$E$8,$B$2:$B$8,I3,$A$2:$A$8,H3)</f>
        <v>12</v>
      </c>
    </row>
    <row r="4" customFormat="false" ht="13.5" hidden="false" customHeight="true" outlineLevel="0" collapsed="false">
      <c r="A4" s="3" t="n">
        <v>43833</v>
      </c>
      <c r="B4" s="1" t="s">
        <v>8</v>
      </c>
      <c r="C4" s="1" t="s">
        <v>9</v>
      </c>
      <c r="D4" s="1" t="s">
        <v>10</v>
      </c>
      <c r="E4" s="1" t="n">
        <v>5</v>
      </c>
      <c r="H4" s="3" t="n">
        <f aca="false">_xlfn.MAXIFS($A$2:$A$8,$B$2:$B$8,I4)</f>
        <v>43837</v>
      </c>
      <c r="I4" s="1" t="s">
        <v>11</v>
      </c>
      <c r="J4" s="1" t="str">
        <f aca="false">INDEX($C$2:$C$8,MATCH(1,($B$2:$B$8=I4)*($A$2:$A$8=H4),0))</f>
        <v>ca-1003</v>
      </c>
      <c r="K4" s="1" t="str">
        <f aca="false">INDEX($D$2:$D$8,MATCH(1,($B$2:$B$8=I4)*($A$2:$A$8=H4),0))</f>
        <v>thi</v>
      </c>
      <c r="L4" s="1" t="n">
        <f aca="false">SUMIFS($E$2:$E$8,$B$2:$B$8,I4,$A$2:$A$8,H4)</f>
        <v>10</v>
      </c>
    </row>
    <row r="5" customFormat="false" ht="13.5" hidden="false" customHeight="true" outlineLevel="0" collapsed="false">
      <c r="A5" s="3" t="n">
        <v>43834</v>
      </c>
      <c r="B5" s="1" t="s">
        <v>8</v>
      </c>
      <c r="C5" s="1" t="s">
        <v>9</v>
      </c>
      <c r="D5" s="1" t="s">
        <v>10</v>
      </c>
      <c r="E5" s="1" t="n">
        <v>60</v>
      </c>
    </row>
    <row r="6" customFormat="false" ht="13.5" hidden="false" customHeight="true" outlineLevel="0" collapsed="false">
      <c r="A6" s="3" t="n">
        <v>43835</v>
      </c>
      <c r="B6" s="1" t="s">
        <v>8</v>
      </c>
      <c r="C6" s="1" t="s">
        <v>9</v>
      </c>
      <c r="D6" s="1" t="s">
        <v>10</v>
      </c>
      <c r="E6" s="1" t="n">
        <v>12</v>
      </c>
    </row>
    <row r="7" customFormat="false" ht="13.5" hidden="false" customHeight="true" outlineLevel="0" collapsed="false">
      <c r="A7" s="3" t="n">
        <v>43836</v>
      </c>
      <c r="B7" s="1" t="s">
        <v>11</v>
      </c>
      <c r="C7" s="1" t="s">
        <v>12</v>
      </c>
      <c r="D7" s="1" t="s">
        <v>13</v>
      </c>
      <c r="E7" s="1" t="n">
        <v>5</v>
      </c>
    </row>
    <row r="8" customFormat="false" ht="13.5" hidden="false" customHeight="true" outlineLevel="0" collapsed="false">
      <c r="A8" s="3" t="n">
        <v>43837</v>
      </c>
      <c r="B8" s="1" t="s">
        <v>11</v>
      </c>
      <c r="C8" s="1" t="s">
        <v>12</v>
      </c>
      <c r="D8" s="1" t="s">
        <v>13</v>
      </c>
      <c r="E8" s="1" t="n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openpyxl</dc:creator>
  <dc:description/>
  <dc:language>en-US</dc:language>
  <cp:lastModifiedBy/>
  <dcterms:modified xsi:type="dcterms:W3CDTF">2026-09-05T17:44:01Z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