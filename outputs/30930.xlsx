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selection pane="topLeft" activeCell="H42" activeCellId="0" sqref="H4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8.73"/>
  </cols>
  <sheetData>
    <row r="1" customFormat="false" ht="13.5" hidden="false" customHeight="false" outlineLevel="0" collapsed="false">
      <c r="A1" s="1" t="n">
        <v>0</v>
      </c>
      <c r="B1" s="0" t="n">
        <v>1</v>
      </c>
    </row>
    <row r="2" customFormat="false" ht="13.5" hidden="false" customHeight="false" outlineLevel="0" collapsed="false">
      <c r="A2" s="1" t="n">
        <v>0</v>
      </c>
      <c r="B2" s="0" t="n">
        <v>0</v>
      </c>
      <c r="C2" s="0" t="str">
        <f aca="false">IF(B2=1,COUNTIFS(INDEX(A:A,LOOKUP(2,1/($B$1:B1=1),ROW($B$1:B1))+1):INDEX(A:A,1),"&gt;0"),"")</f>
        <v/>
      </c>
    </row>
    <row r="3" customFormat="false" ht="13.5" hidden="false" customHeight="false" outlineLevel="0" collapsed="false">
      <c r="A3" s="1" t="n">
        <v>0</v>
      </c>
      <c r="B3" s="0" t="n">
        <v>0</v>
      </c>
      <c r="C3" s="0" t="str">
        <f aca="false">IF(B3=1,COUNTIFS(INDEX(A:A,LOOKUP(2,1/($B$1:B2=1),ROW($B$1:B2))+1):INDEX(A:A,2),"&gt;0"),"")</f>
        <v/>
      </c>
    </row>
    <row r="4" customFormat="false" ht="13.5" hidden="false" customHeight="false" outlineLevel="0" collapsed="false">
      <c r="A4" s="1" t="n">
        <v>14.4358404216527</v>
      </c>
      <c r="B4" s="0" t="n">
        <v>0</v>
      </c>
      <c r="C4" s="0" t="str">
        <f aca="false">IF(B4=1,COUNTIFS(INDEX(A:A,LOOKUP(2,1/($B$1:B3=1),ROW($B$1:B3))+1):INDEX(A:A,3),"&gt;0"),"")</f>
        <v/>
      </c>
    </row>
    <row r="5" customFormat="false" ht="13.5" hidden="false" customHeight="false" outlineLevel="0" collapsed="false">
      <c r="A5" s="1" t="n">
        <v>14.4358404216527</v>
      </c>
      <c r="B5" s="0" t="n">
        <v>0</v>
      </c>
      <c r="C5" s="0" t="str">
        <f aca="false">IF(B5=1,COUNTIFS(INDEX(A:A,LOOKUP(2,1/($B$1:B4=1),ROW($B$1:B4))+1):INDEX(A:A,4),"&gt;0"),"")</f>
        <v/>
      </c>
    </row>
    <row r="6" customFormat="false" ht="13.5" hidden="false" customHeight="false" outlineLevel="0" collapsed="false">
      <c r="A6" s="1" t="n">
        <v>0</v>
      </c>
      <c r="B6" s="0" t="n">
        <v>1</v>
      </c>
      <c r="C6" s="0" t="n">
        <f aca="false">IF(B6=1,COUNTIFS(INDEX(A:A,LOOKUP(2,1/($B$1:B5=1),ROW($B$1:B5))+1):INDEX(A:A,5),"&gt;0"),"")</f>
        <v>2</v>
      </c>
    </row>
    <row r="7" customFormat="false" ht="13.5" hidden="false" customHeight="false" outlineLevel="0" collapsed="false">
      <c r="A7" s="1" t="n">
        <v>33.3264197985742</v>
      </c>
      <c r="B7" s="0" t="n">
        <v>0</v>
      </c>
      <c r="C7" s="0" t="str">
        <f aca="false">IF(B7=1,COUNTIFS(INDEX(A:A,LOOKUP(2,1/($B$1:B6=1),ROW($B$1:B6))+1):INDEX(A:A,6),"&gt;0"),"")</f>
        <v/>
      </c>
    </row>
    <row r="8" customFormat="false" ht="13.5" hidden="false" customHeight="false" outlineLevel="0" collapsed="false">
      <c r="A8" s="1" t="n">
        <v>59.1956723922908</v>
      </c>
      <c r="B8" s="0" t="n">
        <v>0</v>
      </c>
      <c r="C8" s="0" t="str">
        <f aca="false">IF(B8=1,COUNTIFS(INDEX(A:A,LOOKUP(2,1/($B$1:B7=1),ROW($B$1:B7))+1):INDEX(A:A,7),"&gt;0"),"")</f>
        <v/>
      </c>
    </row>
    <row r="9" customFormat="false" ht="13.5" hidden="false" customHeight="false" outlineLevel="0" collapsed="false">
      <c r="A9" s="1" t="n">
        <v>59.1956723922908</v>
      </c>
      <c r="B9" s="0" t="n">
        <v>0</v>
      </c>
      <c r="C9" s="0" t="str">
        <f aca="false">IF(B9=1,COUNTIFS(INDEX(A:A,LOOKUP(2,1/($B$1:B8=1),ROW($B$1:B8))+1):INDEX(A:A,8),"&gt;0"),"")</f>
        <v/>
      </c>
    </row>
    <row r="10" customFormat="false" ht="13.5" hidden="false" customHeight="false" outlineLevel="0" collapsed="false">
      <c r="A10" s="1" t="n">
        <v>0</v>
      </c>
      <c r="B10" s="0" t="n">
        <v>1</v>
      </c>
      <c r="C10" s="0" t="n">
        <f aca="false">IF(B10=1,COUNTIFS(INDEX(A:A,LOOKUP(2,1/($B$1:B9=1),ROW($B$1:B9))+1):INDEX(A:A,9),"&gt;0"),"")</f>
        <v>3</v>
      </c>
    </row>
    <row r="11" customFormat="false" ht="13.5" hidden="false" customHeight="false" outlineLevel="0" collapsed="false">
      <c r="A11" s="1" t="n">
        <v>0</v>
      </c>
      <c r="B11" s="0" t="n">
        <v>0</v>
      </c>
      <c r="C11" s="0" t="str">
        <f aca="false">IF(B11=1,COUNTIFS(INDEX(A:A,LOOKUP(2,1/($B$1:B10=1),ROW($B$1:B10))+1):INDEX(A:A,10),"&gt;0"),"")</f>
        <v/>
      </c>
    </row>
    <row r="12" customFormat="false" ht="13.5" hidden="false" customHeight="false" outlineLevel="0" collapsed="false">
      <c r="A12" s="1" t="n">
        <v>43.3832212610085</v>
      </c>
      <c r="B12" s="0" t="n">
        <v>0</v>
      </c>
      <c r="C12" s="0" t="str">
        <f aca="false">IF(B12=1,COUNTIFS(INDEX(A:A,LOOKUP(2,1/($B$1:B11=1),ROW($B$1:B11))+1):INDEX(A:A,11),"&gt;0"),"")</f>
        <v/>
      </c>
    </row>
    <row r="13" customFormat="false" ht="13.5" hidden="false" customHeight="false" outlineLevel="0" collapsed="false">
      <c r="A13" s="1" t="n">
        <v>43.3832212610085</v>
      </c>
      <c r="B13" s="0" t="n">
        <v>0</v>
      </c>
      <c r="C13" s="0" t="str">
        <f aca="false">IF(B13=1,COUNTIFS(INDEX(A:A,LOOKUP(2,1/($B$1:B12=1),ROW($B$1:B12))+1):INDEX(A:A,12),"&gt;0"),"")</f>
        <v/>
      </c>
    </row>
    <row r="14" customFormat="false" ht="13.5" hidden="false" customHeight="false" outlineLevel="0" collapsed="false">
      <c r="A14" s="1" t="n">
        <v>43.3832212610085</v>
      </c>
      <c r="B14" s="0" t="n">
        <v>0</v>
      </c>
      <c r="C14" s="0" t="str">
        <f aca="false">IF(B14=1,COUNTIFS(INDEX(A:A,LOOKUP(2,1/($B$1:B13=1),ROW($B$1:B13))+1):INDEX(A:A,13),"&gt;0"),"")</f>
        <v/>
      </c>
    </row>
    <row r="15" customFormat="false" ht="13.5" hidden="false" customHeight="false" outlineLevel="0" collapsed="false">
      <c r="A15" s="1" t="n">
        <v>0</v>
      </c>
      <c r="B15" s="0" t="n">
        <v>1</v>
      </c>
      <c r="C15" s="0" t="n">
        <f aca="false">IF(B15=1,COUNTIFS(INDEX(A:A,LOOKUP(2,1/($B$1:B14=1),ROW($B$1:B14))+1):INDEX(A:A,14),"&gt;0"),"")</f>
        <v>3</v>
      </c>
    </row>
    <row r="16" customFormat="false" ht="13.5" hidden="false" customHeight="false" outlineLevel="0" collapsed="false">
      <c r="A16" s="1" t="n">
        <v>0</v>
      </c>
      <c r="B16" s="0" t="n">
        <v>0</v>
      </c>
      <c r="C16" s="0" t="str">
        <f aca="false">IF(B16=1,COUNTIFS(INDEX(A:A,LOOKUP(2,1/($B$1:B15=1),ROW($B$1:B15))+1):INDEX(A:A,15),"&gt;0"),"")</f>
        <v/>
      </c>
    </row>
    <row r="17" customFormat="false" ht="13.5" hidden="false" customHeight="false" outlineLevel="0" collapsed="false">
      <c r="A17" s="1" t="n">
        <v>0</v>
      </c>
      <c r="B17" s="0" t="n">
        <v>0</v>
      </c>
      <c r="C17" s="0" t="str">
        <f aca="false">IF(B17=1,COUNTIFS(INDEX(A:A,LOOKUP(2,1/($B$1:B16=1),ROW($B$1:B16))+1):INDEX(A:A,16),"&gt;0"),"")</f>
        <v/>
      </c>
    </row>
    <row r="18" customFormat="false" ht="13.5" hidden="false" customHeight="false" outlineLevel="0" collapsed="false">
      <c r="A18" s="1" t="n">
        <v>0</v>
      </c>
      <c r="B18" s="0" t="n">
        <v>0</v>
      </c>
      <c r="C18" s="0" t="str">
        <f aca="false">IF(B18=1,COUNTIFS(INDEX(A:A,LOOKUP(2,1/($B$1:B17=1),ROW($B$1:B17))+1):INDEX(A:A,17),"&gt;0"),"")</f>
        <v/>
      </c>
    </row>
    <row r="19" customFormat="false" ht="13.5" hidden="false" customHeight="false" outlineLevel="0" collapsed="false">
      <c r="A19" s="1" t="n">
        <v>0</v>
      </c>
      <c r="B19" s="0" t="n">
        <v>0</v>
      </c>
      <c r="C19" s="0" t="str">
        <f aca="false">IF(B19=1,COUNTIFS(INDEX(A:A,LOOKUP(2,1/($B$1:B18=1),ROW($B$1:B18))+1):INDEX(A:A,18),"&gt;0"),"")</f>
        <v/>
      </c>
    </row>
    <row r="20" customFormat="false" ht="13.5" hidden="false" customHeight="false" outlineLevel="0" collapsed="false">
      <c r="A20" s="1" t="n">
        <v>0</v>
      </c>
      <c r="B20" s="0" t="n">
        <v>0</v>
      </c>
      <c r="C20" s="0" t="str">
        <f aca="false">IF(B20=1,COUNTIFS(INDEX(A:A,LOOKUP(2,1/($B$1:B19=1),ROW($B$1:B19))+1):INDEX(A:A,19),"&gt;0"),"")</f>
        <v/>
      </c>
    </row>
    <row r="21" customFormat="false" ht="13.5" hidden="false" customHeight="false" outlineLevel="0" collapsed="false">
      <c r="A21" s="1" t="n">
        <v>5.49920734712293</v>
      </c>
      <c r="B21" s="0" t="n">
        <v>0</v>
      </c>
      <c r="C21" s="0" t="str">
        <f aca="false">IF(B21=1,COUNTIFS(INDEX(A:A,LOOKUP(2,1/($B$1:B20=1),ROW($B$1:B20))+1):INDEX(A:A,20),"&gt;0"),"")</f>
        <v/>
      </c>
    </row>
    <row r="22" customFormat="false" ht="13.5" hidden="false" customHeight="false" outlineLevel="0" collapsed="false">
      <c r="A22" s="1" t="n">
        <v>0</v>
      </c>
      <c r="B22" s="0" t="n">
        <v>1</v>
      </c>
      <c r="C22" s="0" t="n">
        <f aca="false">IF(B22=1,COUNTIFS(INDEX(A:A,LOOKUP(2,1/($B$1:B21=1),ROW($B$1:B21))+1):INDEX(A:A,21),"&gt;0"),"")</f>
        <v>1</v>
      </c>
    </row>
    <row r="23" customFormat="false" ht="13.5" hidden="false" customHeight="false" outlineLevel="0" collapsed="false">
      <c r="A23" s="1" t="n">
        <v>10.1360505686755</v>
      </c>
      <c r="B23" s="0" t="n">
        <v>0</v>
      </c>
      <c r="C23" s="0" t="str">
        <f aca="false">IF(B23=1,COUNTIFS(INDEX(A:A,LOOKUP(2,1/($B$1:B22=1),ROW($B$1:B22))+1):INDEX(A:A,22),"&gt;0"),"")</f>
        <v/>
      </c>
    </row>
    <row r="24" customFormat="false" ht="13.5" hidden="false" customHeight="false" outlineLevel="0" collapsed="false">
      <c r="A24" s="1" t="n">
        <v>0</v>
      </c>
      <c r="B24" s="0" t="n">
        <v>1</v>
      </c>
      <c r="C24" s="0" t="n">
        <f aca="false">IF(B24=1,COUNTIFS(INDEX(A:A,LOOKUP(2,1/($B$1:B23=1),ROW($B$1:B23))+1):INDEX(A:A,23),"&gt;0"),"")</f>
        <v>1</v>
      </c>
    </row>
    <row r="25" customFormat="false" ht="13.5" hidden="false" customHeight="false" outlineLevel="0" collapsed="false">
      <c r="A25" s="1" t="n">
        <v>0</v>
      </c>
      <c r="B25" s="0" t="n">
        <v>0</v>
      </c>
      <c r="C25" s="0" t="str">
        <f aca="false">IF(B25=1,COUNTIFS(INDEX(A:A,LOOKUP(2,1/($B$1:B24=1),ROW($B$1:B24))+1):INDEX(A:A,24),"&gt;0"),"")</f>
        <v/>
      </c>
    </row>
    <row r="26" customFormat="false" ht="13.5" hidden="false" customHeight="false" outlineLevel="0" collapsed="false">
      <c r="A26" s="1" t="n">
        <v>0</v>
      </c>
      <c r="B26" s="0" t="n">
        <v>0</v>
      </c>
      <c r="C26" s="0" t="str">
        <f aca="false">IF(B26=1,COUNTIFS(INDEX(A:A,LOOKUP(2,1/($B$1:B25=1),ROW($B$1:B25))+1):INDEX(A:A,25),"&gt;0"),"")</f>
        <v/>
      </c>
    </row>
    <row r="27" customFormat="false" ht="13.5" hidden="false" customHeight="false" outlineLevel="0" collapsed="false">
      <c r="A27" s="1" t="n">
        <v>2.69863369210975</v>
      </c>
      <c r="B27" s="0" t="n">
        <v>0</v>
      </c>
      <c r="C27" s="0" t="str">
        <f aca="false">IF(B27=1,COUNTIFS(INDEX(A:A,LOOKUP(2,1/($B$1:B26=1),ROW($B$1:B26))+1):INDEX(A:A,26),"&gt;0"),"")</f>
        <v/>
      </c>
    </row>
    <row r="28" customFormat="false" ht="13.5" hidden="false" customHeight="false" outlineLevel="0" collapsed="false">
      <c r="A28" s="1" t="n">
        <v>78.910080699171</v>
      </c>
      <c r="B28" s="0" t="n">
        <v>0</v>
      </c>
      <c r="C28" s="0" t="str">
        <f aca="false">IF(B28=1,COUNTIFS(INDEX(A:A,LOOKUP(2,1/($B$1:B27=1),ROW($B$1:B27))+1):INDEX(A:A,27),"&gt;0"),"")</f>
        <v/>
      </c>
    </row>
    <row r="29" customFormat="false" ht="13.5" hidden="false" customHeight="false" outlineLevel="0" collapsed="false">
      <c r="A29" s="1" t="n">
        <v>78.910080699171</v>
      </c>
      <c r="B29" s="0" t="n">
        <v>0</v>
      </c>
      <c r="C29" s="0" t="str">
        <f aca="false">IF(B29=1,COUNTIFS(INDEX(A:A,LOOKUP(2,1/($B$1:B28=1),ROW($B$1:B28))+1):INDEX(A:A,28),"&gt;0"),"")</f>
        <v/>
      </c>
    </row>
    <row r="30" customFormat="false" ht="13.5" hidden="false" customHeight="false" outlineLevel="0" collapsed="false">
      <c r="A30" s="1" t="n">
        <v>78.910080699171</v>
      </c>
      <c r="B30" s="0" t="n">
        <v>0</v>
      </c>
      <c r="C30" s="0" t="str">
        <f aca="false">IF(B30=1,COUNTIFS(INDEX(A:A,LOOKUP(2,1/($B$1:B29=1),ROW($B$1:B29))+1):INDEX(A:A,29),"&gt;0"),"")</f>
        <v/>
      </c>
    </row>
    <row r="31" customFormat="false" ht="13.5" hidden="false" customHeight="false" outlineLevel="0" collapsed="false">
      <c r="A31" s="1" t="n">
        <v>78.910080699171</v>
      </c>
      <c r="B31" s="0" t="n">
        <v>0</v>
      </c>
      <c r="C31" s="0" t="str">
        <f aca="false">IF(B31=1,COUNTIFS(INDEX(A:A,LOOKUP(2,1/($B$1:B30=1),ROW($B$1:B30))+1):INDEX(A:A,30),"&gt;0"),"")</f>
        <v/>
      </c>
    </row>
    <row r="32" customFormat="false" ht="13.5" hidden="false" customHeight="false" outlineLevel="0" collapsed="false">
      <c r="A32" s="1" t="n">
        <v>78.910080699171</v>
      </c>
      <c r="B32" s="0" t="n">
        <v>0</v>
      </c>
      <c r="C32" s="0" t="str">
        <f aca="false">IF(B32=1,COUNTIFS(INDEX(A:A,LOOKUP(2,1/($B$1:B31=1),ROW($B$1:B31))+1):INDEX(A:A,31),"&gt;0"),"")</f>
        <v/>
      </c>
    </row>
    <row r="33" customFormat="false" ht="13.5" hidden="false" customHeight="false" outlineLevel="0" collapsed="false">
      <c r="A33" s="1" t="n">
        <v>0</v>
      </c>
      <c r="B33" s="0" t="n">
        <v>1</v>
      </c>
      <c r="C33" s="0" t="n">
        <f aca="false">IF(B33=1,COUNTIFS(INDEX(A:A,LOOKUP(2,1/($B$1:B32=1),ROW($B$1:B32))+1):INDEX(A:A,32),"&gt;0"),"")</f>
        <v>6</v>
      </c>
    </row>
    <row r="34" customFormat="false" ht="13.5" hidden="false" customHeight="false" outlineLevel="0" collapsed="false">
      <c r="A34" s="1" t="n">
        <v>0</v>
      </c>
      <c r="B34" s="0" t="n">
        <v>0</v>
      </c>
      <c r="C34" s="0" t="str">
        <f aca="false">IF(B34=1,COUNTIFS(INDEX(A:A,LOOKUP(2,1/($B$1:B33=1),ROW($B$1:B33))+1):INDEX(A:A,33),"&gt;0"),"")</f>
        <v/>
      </c>
    </row>
    <row r="35" customFormat="false" ht="13.5" hidden="false" customHeight="false" outlineLevel="0" collapsed="false">
      <c r="A35" s="1" t="n">
        <v>21.0641598646935</v>
      </c>
      <c r="B35" s="0" t="n">
        <v>0</v>
      </c>
      <c r="C35" s="0" t="str">
        <f aca="false">IF(B35=1,COUNTIFS(INDEX(A:A,LOOKUP(2,1/($B$1:B34=1),ROW($B$1:B34))+1):INDEX(A:A,34),"&gt;0"),"")</f>
        <v/>
      </c>
    </row>
    <row r="36" customFormat="false" ht="13.5" hidden="false" customHeight="false" outlineLevel="0" collapsed="false">
      <c r="A36" s="1" t="n">
        <v>0</v>
      </c>
      <c r="B36" s="0" t="n">
        <v>1</v>
      </c>
      <c r="C36" s="0" t="n">
        <f aca="false">IF(B36=1,COUNTIFS(INDEX(A:A,LOOKUP(2,1/($B$1:B35=1),ROW($B$1:B35))+1):INDEX(A:A,35),"&gt;0"),"")</f>
        <v>1</v>
      </c>
    </row>
    <row r="37" customFormat="false" ht="13.5" hidden="false" customHeight="false" outlineLevel="0" collapsed="false">
      <c r="A37" s="1" t="n">
        <v>0</v>
      </c>
      <c r="B37" s="0" t="n">
        <v>0</v>
      </c>
      <c r="C37" s="0" t="str">
        <f aca="false">IF(B37=1,COUNTIFS(INDEX(A:A,LOOKUP(2,1/($B$1:B36=1),ROW($B$1:B36))+1):INDEX(A:A,36),"&gt;0"),"")</f>
        <v/>
      </c>
    </row>
    <row r="38" customFormat="false" ht="13.5" hidden="false" customHeight="false" outlineLevel="0" collapsed="false">
      <c r="A38" s="1" t="n">
        <v>0.0887361527361463</v>
      </c>
      <c r="B38" s="0" t="n">
        <v>0</v>
      </c>
      <c r="C38" s="0" t="str">
        <f aca="false">IF(B38=1,COUNTIFS(INDEX(A:A,LOOKUP(2,1/($B$1:B37=1),ROW($B$1:B37))+1):INDEX(A:A,37),"&gt;0"),"")</f>
        <v/>
      </c>
    </row>
    <row r="39" customFormat="false" ht="13.5" hidden="false" customHeight="false" outlineLevel="0" collapsed="false">
      <c r="A39" s="1" t="n">
        <v>10.8575771462579</v>
      </c>
      <c r="B39" s="0" t="n">
        <v>0</v>
      </c>
      <c r="C39" s="0" t="str">
        <f aca="false">IF(B39=1,COUNTIFS(INDEX(A:A,LOOKUP(2,1/($B$1:B38=1),ROW($B$1:B38))+1):INDEX(A:A,38),"&gt;0"),"")</f>
        <v/>
      </c>
    </row>
    <row r="40" customFormat="false" ht="13.5" hidden="false" customHeight="false" outlineLevel="0" collapsed="false">
      <c r="A40" s="1" t="n">
        <v>0</v>
      </c>
      <c r="B40" s="0" t="n">
        <v>1</v>
      </c>
      <c r="C40" s="0" t="n">
        <f aca="false">IF(B40=1,COUNTIFS(INDEX(A:A,LOOKUP(2,1/($B$1:B39=1),ROW($B$1:B39))+1):INDEX(A:A,39),"&gt;0"),"")</f>
        <v>2</v>
      </c>
    </row>
    <row r="41" customFormat="false" ht="13.5" hidden="false" customHeight="false" outlineLevel="0" collapsed="false">
      <c r="A41" s="1" t="n">
        <v>0</v>
      </c>
      <c r="B41" s="0" t="n">
        <v>0</v>
      </c>
      <c r="C41" s="0" t="str">
        <f aca="false">IF(B41=1,COUNTIFS(INDEX(A:A,LOOKUP(2,1/($B$1:B40=1),ROW($B$1:B40))+1):INDEX(A:A,40),"&gt;0"),"")</f>
        <v/>
      </c>
    </row>
    <row r="42" customFormat="false" ht="13.5" hidden="false" customHeight="false" outlineLevel="0" collapsed="false">
      <c r="A42" s="1" t="n">
        <v>85.4885115891229</v>
      </c>
      <c r="B42" s="0" t="n">
        <v>0</v>
      </c>
      <c r="C42" s="0" t="str">
        <f aca="false">IF(B42=1,COUNTIFS(INDEX(A:A,LOOKUP(2,1/($B$1:B41=1),ROW($B$1:B41))+1):INDEX(A:A,41),"&gt;0"),"")</f>
        <v/>
      </c>
    </row>
    <row r="43" customFormat="false" ht="13.5" hidden="false" customHeight="false" outlineLevel="0" collapsed="false">
      <c r="A43" s="1" t="n">
        <v>105.21142519414</v>
      </c>
      <c r="B43" s="0" t="n">
        <v>0</v>
      </c>
      <c r="C43" s="0" t="str">
        <f aca="false">IF(B43=1,COUNTIFS(INDEX(A:A,LOOKUP(2,1/($B$1:B42=1),ROW($B$1:B42))+1):INDEX(A:A,42),"&gt;0"),"")</f>
        <v/>
      </c>
    </row>
    <row r="44" customFormat="false" ht="13.5" hidden="false" customHeight="false" outlineLevel="0" collapsed="false">
      <c r="A44" s="1" t="n">
        <v>105.21142519414</v>
      </c>
      <c r="B44" s="0" t="n">
        <v>0</v>
      </c>
      <c r="C44" s="0" t="str">
        <f aca="false">IF(B44=1,COUNTIFS(INDEX(A:A,LOOKUP(2,1/($B$1:B43=1),ROW($B$1:B43))+1):INDEX(A:A,43),"&gt;0"),"")</f>
        <v/>
      </c>
    </row>
    <row r="45" customFormat="false" ht="13.5" hidden="false" customHeight="false" outlineLevel="0" collapsed="false">
      <c r="A45" s="1" t="n">
        <v>105.21142519414</v>
      </c>
      <c r="B45" s="0" t="n">
        <v>0</v>
      </c>
      <c r="C45" s="0" t="str">
        <f aca="false">IF(B45=1,COUNTIFS(INDEX(A:A,LOOKUP(2,1/($B$1:B44=1),ROW($B$1:B44))+1):INDEX(A:A,44),"&gt;0"),"")</f>
        <v/>
      </c>
    </row>
    <row r="46" customFormat="false" ht="13.5" hidden="false" customHeight="false" outlineLevel="0" collapsed="false">
      <c r="A46" s="1" t="n">
        <v>105.21142519414</v>
      </c>
      <c r="B46" s="0" t="n">
        <v>0</v>
      </c>
      <c r="C46" s="0" t="str">
        <f aca="false">IF(B46=1,COUNTIFS(INDEX(A:A,LOOKUP(2,1/($B$1:B45=1),ROW($B$1:B45))+1):INDEX(A:A,45),"&gt;0"),"")</f>
        <v/>
      </c>
    </row>
    <row r="47" customFormat="false" ht="13.5" hidden="false" customHeight="false" outlineLevel="0" collapsed="false">
      <c r="A47" s="1" t="n">
        <v>105.21142519414</v>
      </c>
      <c r="B47" s="0" t="n">
        <v>0</v>
      </c>
      <c r="C47" s="0" t="str">
        <f aca="false">IF(B47=1,COUNTIFS(INDEX(A:A,LOOKUP(2,1/($B$1:B46=1),ROW($B$1:B46))+1):INDEX(A:A,46),"&gt;0"),"")</f>
        <v/>
      </c>
    </row>
    <row r="48" customFormat="false" ht="13.5" hidden="false" customHeight="false" outlineLevel="0" collapsed="false">
      <c r="A48" s="1" t="n">
        <v>105.21142519414</v>
      </c>
      <c r="B48" s="0" t="n">
        <v>0</v>
      </c>
      <c r="C48" s="0" t="str">
        <f aca="false">IF(B48=1,COUNTIFS(INDEX(A:A,LOOKUP(2,1/($B$1:B47=1),ROW($B$1:B47))+1):INDEX(A:A,47),"&gt;0"),"")</f>
        <v/>
      </c>
    </row>
    <row r="49" customFormat="false" ht="13.5" hidden="false" customHeight="false" outlineLevel="0" collapsed="false">
      <c r="A49" s="1" t="n">
        <v>105.21142519414</v>
      </c>
      <c r="B49" s="0" t="n">
        <v>0</v>
      </c>
      <c r="C49" s="0" t="str">
        <f aca="false">IF(B49=1,COUNTIFS(INDEX(A:A,LOOKUP(2,1/($B$1:B48=1),ROW($B$1:B48))+1):INDEX(A:A,48),"&gt;0"),"")</f>
        <v/>
      </c>
    </row>
    <row r="50" customFormat="false" ht="13.5" hidden="false" customHeight="false" outlineLevel="0" collapsed="false">
      <c r="A50" s="1" t="n">
        <v>105.21142519414</v>
      </c>
      <c r="B50" s="0" t="n">
        <v>0</v>
      </c>
      <c r="C50" s="0" t="str">
        <f aca="false">IF(B50=1,COUNTIFS(INDEX(A:A,LOOKUP(2,1/($B$1:B49=1),ROW($B$1:B49))+1):INDEX(A:A,49),"&gt;0"),"")</f>
        <v/>
      </c>
    </row>
    <row r="51" customFormat="false" ht="13.5" hidden="false" customHeight="false" outlineLevel="0" collapsed="false">
      <c r="A51" s="1" t="n">
        <v>105.21142519414</v>
      </c>
      <c r="B51" s="0" t="n">
        <v>0</v>
      </c>
      <c r="C51" s="0" t="str">
        <f aca="false">IF(B51=1,COUNTIFS(INDEX(A:A,LOOKUP(2,1/($B$1:B50=1),ROW($B$1:B50))+1):INDEX(A:A,50),"&gt;0"),"")</f>
        <v/>
      </c>
    </row>
    <row r="52" customFormat="false" ht="13.5" hidden="false" customHeight="false" outlineLevel="0" collapsed="false">
      <c r="A52" s="1" t="n">
        <v>105.21142519414</v>
      </c>
      <c r="B52" s="0" t="n">
        <v>0</v>
      </c>
      <c r="C52" s="0" t="str">
        <f aca="false">IF(B52=1,COUNTIFS(INDEX(A:A,LOOKUP(2,1/($B$1:B51=1),ROW($B$1:B51))+1):INDEX(A:A,51),"&gt;0"),"")</f>
        <v/>
      </c>
    </row>
    <row r="53" customFormat="false" ht="13.5" hidden="false" customHeight="false" outlineLevel="0" collapsed="false">
      <c r="A53" s="1" t="n">
        <v>105.21142519414</v>
      </c>
      <c r="B53" s="0" t="n">
        <v>0</v>
      </c>
      <c r="C53" s="0" t="str">
        <f aca="false">IF(B53=1,COUNTIFS(INDEX(A:A,LOOKUP(2,1/($B$1:B52=1),ROW($B$1:B52))+1):INDEX(A:A,52),"&gt;0"),"")</f>
        <v/>
      </c>
    </row>
    <row r="54" customFormat="false" ht="13.5" hidden="false" customHeight="false" outlineLevel="0" collapsed="false">
      <c r="A54" s="1" t="n">
        <v>105.21142519414</v>
      </c>
      <c r="B54" s="0" t="n">
        <v>0</v>
      </c>
      <c r="C54" s="0" t="str">
        <f aca="false">IF(B54=1,COUNTIFS(INDEX(A:A,LOOKUP(2,1/($B$1:B53=1),ROW($B$1:B53))+1):INDEX(A:A,53),"&gt;0"),"")</f>
        <v/>
      </c>
    </row>
    <row r="55" customFormat="false" ht="13.5" hidden="false" customHeight="false" outlineLevel="0" collapsed="false">
      <c r="A55" s="1" t="n">
        <v>105.21142519414</v>
      </c>
      <c r="B55" s="0" t="n">
        <v>0</v>
      </c>
      <c r="C55" s="0" t="str">
        <f aca="false">IF(B55=1,COUNTIFS(INDEX(A:A,LOOKUP(2,1/($B$1:B54=1),ROW($B$1:B54))+1):INDEX(A:A,54),"&gt;0"),"")</f>
        <v/>
      </c>
    </row>
    <row r="56" customFormat="false" ht="13.5" hidden="false" customHeight="false" outlineLevel="0" collapsed="false">
      <c r="A56" s="1" t="n">
        <v>105.21142519414</v>
      </c>
      <c r="B56" s="0" t="n">
        <v>0</v>
      </c>
      <c r="C56" s="0" t="str">
        <f aca="false">IF(B56=1,COUNTIFS(INDEX(A:A,LOOKUP(2,1/($B$1:B55=1),ROW($B$1:B55))+1):INDEX(A:A,55),"&gt;0"),"")</f>
        <v/>
      </c>
    </row>
    <row r="57" customFormat="false" ht="13.5" hidden="false" customHeight="false" outlineLevel="0" collapsed="false">
      <c r="A57" s="1" t="n">
        <v>105.21142519414</v>
      </c>
      <c r="B57" s="0" t="n">
        <v>0</v>
      </c>
      <c r="C57" s="0" t="str">
        <f aca="false">IF(B57=1,COUNTIFS(INDEX(A:A,LOOKUP(2,1/($B$1:B56=1),ROW($B$1:B56))+1):INDEX(A:A,56),"&gt;0"),"")</f>
        <v/>
      </c>
    </row>
    <row r="58" customFormat="false" ht="13.5" hidden="false" customHeight="false" outlineLevel="0" collapsed="false">
      <c r="A58" s="1" t="n">
        <v>105.21142519414</v>
      </c>
      <c r="B58" s="0" t="n">
        <v>0</v>
      </c>
      <c r="C58" s="0" t="str">
        <f aca="false">IF(B58=1,COUNTIFS(INDEX(A:A,LOOKUP(2,1/($B$1:B57=1),ROW($B$1:B57))+1):INDEX(A:A,57),"&gt;0"),"")</f>
        <v/>
      </c>
    </row>
    <row r="59" customFormat="false" ht="13.5" hidden="false" customHeight="false" outlineLevel="0" collapsed="false">
      <c r="A59" s="1" t="n">
        <v>105.21142519414</v>
      </c>
      <c r="B59" s="0" t="n">
        <v>0</v>
      </c>
      <c r="C59" s="0" t="str">
        <f aca="false">IF(B59=1,COUNTIFS(INDEX(A:A,LOOKUP(2,1/($B$1:B58=1),ROW($B$1:B58))+1):INDEX(A:A,58),"&gt;0"),"")</f>
        <v/>
      </c>
    </row>
    <row r="60" customFormat="false" ht="13.5" hidden="false" customHeight="false" outlineLevel="0" collapsed="false">
      <c r="A60" s="1" t="n">
        <v>0</v>
      </c>
      <c r="B60" s="0" t="n">
        <v>1</v>
      </c>
      <c r="C60" s="0" t="n">
        <f aca="false">IF(B60=1,COUNTIFS(INDEX(A:A,LOOKUP(2,1/($B$1:B59=1),ROW($B$1:B59))+1):INDEX(A:A,59),"&gt;0"),"")</f>
        <v>18</v>
      </c>
    </row>
    <row r="61" customFormat="false" ht="13.5" hidden="false" customHeight="false" outlineLevel="0" collapsed="false">
      <c r="A61" s="1" t="n">
        <v>49.4514016175203</v>
      </c>
      <c r="B61" s="0" t="n">
        <v>0</v>
      </c>
      <c r="C61" s="0" t="str">
        <f aca="false">IF(B61=1,COUNTIFS(INDEX(A:A,LOOKUP(2,1/($B$1:B60=1),ROW($B$1:B60))+1):INDEX(A:A,60),"&gt;0"),"")</f>
        <v/>
      </c>
    </row>
    <row r="62" customFormat="false" ht="13.5" hidden="false" customHeight="false" outlineLevel="0" collapsed="false">
      <c r="A62" s="1" t="n">
        <v>49.4514016175203</v>
      </c>
      <c r="B62" s="0" t="n">
        <v>0</v>
      </c>
      <c r="C62" s="0" t="str">
        <f aca="false">IF(B62=1,COUNTIFS(INDEX(A:A,LOOKUP(2,1/($B$1:B61=1),ROW($B$1:B61))+1):INDEX(A:A,61),"&gt;0"),"")</f>
        <v/>
      </c>
    </row>
    <row r="63" customFormat="false" ht="13.5" hidden="false" customHeight="false" outlineLevel="0" collapsed="false">
      <c r="A63" s="1" t="n">
        <v>0</v>
      </c>
      <c r="B63" s="0" t="n">
        <v>1</v>
      </c>
      <c r="C63" s="0" t="n">
        <f aca="false">IF(B63=1,COUNTIFS(INDEX(A:A,LOOKUP(2,1/($B$1:B62=1),ROW($B$1:B62))+1):INDEX(A:A,62),"&gt;0"),"")</f>
        <v>2</v>
      </c>
    </row>
    <row r="64" customFormat="false" ht="13.5" hidden="false" customHeight="false" outlineLevel="0" collapsed="false">
      <c r="A64" s="1" t="n">
        <v>20.6825364996964</v>
      </c>
      <c r="B64" s="0" t="n">
        <v>0</v>
      </c>
      <c r="C64" s="0" t="str">
        <f aca="false">IF(B64=1,COUNTIFS(INDEX(A:A,LOOKUP(2,1/($B$1:B63=1),ROW($B$1:B63))+1):INDEX(A:A,63),"&gt;0"),"")</f>
        <v/>
      </c>
    </row>
    <row r="65" customFormat="false" ht="13.5" hidden="false" customHeight="false" outlineLevel="0" collapsed="false">
      <c r="A65" s="1" t="n">
        <v>21.0788954125408</v>
      </c>
      <c r="B65" s="0" t="n">
        <v>0</v>
      </c>
      <c r="C65" s="0" t="str">
        <f aca="false">IF(B65=1,COUNTIFS(INDEX(A:A,LOOKUP(2,1/($B$1:B64=1),ROW($B$1:B64))+1):INDEX(A:A,64),"&gt;0"),"")</f>
        <v/>
      </c>
    </row>
    <row r="66" customFormat="false" ht="13.5" hidden="false" customHeight="false" outlineLevel="0" collapsed="false">
      <c r="A66" s="1" t="n">
        <v>0</v>
      </c>
      <c r="B66" s="0" t="n">
        <v>1</v>
      </c>
      <c r="C66" s="0" t="n">
        <f aca="false">IF(B66=1,COUNTIFS(INDEX(A:A,LOOKUP(2,1/($B$1:B65=1),ROW($B$1:B65))+1):INDEX(A:A,65),"&gt;0"),"")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2024-02-18T12:04:00Z</dcterms:created>
  <dc:creator>Simon Lockyer</dc:creator>
  <dc:description/>
  <dc:language>en-US</dc:language>
  <cp:lastModifiedBy>917956131</cp:lastModifiedBy>
  <dcterms:modified xsi:type="dcterms:W3CDTF">2026-09-05T17:46:12Z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A117B8766C37426ABA24F3EB0E2C2126_12</vt:lpwstr>
  </property>
  <property fmtid="{D5CDD505-2E9C-101B-9397-08002B2CF9AE}" pid="3" name="KSOProductBuildVer">
    <vt:lpwstr>2052-12.1.0.16729</vt:lpwstr>
  </property>
</Properties>
</file>