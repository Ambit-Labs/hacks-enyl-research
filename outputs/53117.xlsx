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'Sheet1'!$A$1:$AY$27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_(* #,##0.00_);_(* \(#,##0.00\);_(* \-??_);_(@_)"/>
  </numFmts>
  <fonts count="5">
    <font>
      <name val="等线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等线"/>
      <charset val="134"/>
      <family val="0"/>
      <b val="1"/>
      <color rgb="FFFF0000"/>
      <sz val="11"/>
    </font>
  </fonts>
  <fills count="4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164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164" fontId="0" fillId="0" borderId="0" applyAlignment="1" pivotButton="0" quotePrefix="0" xfId="15">
      <alignment horizontal="general" vertical="bottom"/>
    </xf>
    <xf numFmtId="0" fontId="0" fillId="2" borderId="1" applyAlignment="1" pivotButton="0" quotePrefix="0" xfId="0">
      <alignment horizontal="center" vertical="center"/>
    </xf>
    <xf numFmtId="164" fontId="0" fillId="2" borderId="1" applyAlignment="1" pivotButton="0" quotePrefix="0" xfId="15">
      <alignment horizontal="general" vertical="center"/>
    </xf>
    <xf numFmtId="0" fontId="0" fillId="2" borderId="1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top"/>
    </xf>
    <xf numFmtId="164" fontId="0" fillId="0" borderId="0" applyAlignment="1" pivotButton="0" quotePrefix="0" xfId="15">
      <alignment horizontal="right" vertical="top"/>
    </xf>
    <xf numFmtId="0" fontId="0" fillId="0" borderId="0" applyAlignment="1" pivotButton="0" quotePrefix="0" xfId="0">
      <alignment horizontal="general" vertical="top"/>
    </xf>
    <xf numFmtId="164" fontId="0" fillId="3" borderId="0" applyAlignment="1" pivotButton="0" quotePrefix="0" xfId="15">
      <alignment horizontal="right" vertical="top"/>
    </xf>
    <xf numFmtId="4" fontId="0" fillId="0" borderId="0" applyAlignment="1" pivotButton="0" quotePrefix="0" xfId="0">
      <alignment horizontal="right" vertical="top"/>
    </xf>
    <xf numFmtId="0" fontId="0" fillId="3" borderId="0" applyAlignment="1" pivotButton="0" quotePrefix="0" xfId="0">
      <alignment horizontal="general" vertical="top"/>
    </xf>
    <xf numFmtId="164" fontId="0" fillId="0" borderId="0" applyAlignment="1" pivotButton="0" quotePrefix="0" xfId="15">
      <alignment horizontal="general" vertical="top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164" fontId="0" fillId="0" borderId="0" applyAlignment="1" pivotButton="0" quotePrefix="0" xfId="1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center" vertical="center"/>
    </xf>
    <xf numFmtId="164" fontId="0" fillId="2" borderId="1" applyAlignment="1" pivotButton="0" quotePrefix="0" xfId="15">
      <alignment horizontal="general" vertical="center"/>
    </xf>
    <xf numFmtId="0" fontId="0" fillId="2" borderId="1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top"/>
    </xf>
    <xf numFmtId="164" fontId="0" fillId="0" borderId="0" applyAlignment="1" pivotButton="0" quotePrefix="0" xfId="15">
      <alignment horizontal="right" vertical="top"/>
    </xf>
    <xf numFmtId="164" fontId="0" fillId="3" borderId="0" applyAlignment="1" pivotButton="0" quotePrefix="0" xfId="15">
      <alignment horizontal="right" vertical="top"/>
    </xf>
    <xf numFmtId="4" fontId="0" fillId="0" borderId="0" applyAlignment="1" pivotButton="0" quotePrefix="0" xfId="0">
      <alignment horizontal="right" vertical="top"/>
    </xf>
    <xf numFmtId="0" fontId="0" fillId="3" borderId="0" applyAlignment="1" pivotButton="0" quotePrefix="0" xfId="0">
      <alignment horizontal="general" vertical="top"/>
    </xf>
    <xf numFmtId="164" fontId="0" fillId="0" borderId="0" applyAlignment="1" pivotButton="0" quotePrefix="0" xfId="15">
      <alignment horizontal="general" vertical="top"/>
    </xf>
    <xf numFmtId="0" fontId="0" fillId="0" borderId="0" pivotButton="0" quotePrefix="0" xfId="0"/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7"/>
  <sheetViews>
    <sheetView showFormulas="0" showGridLines="1" showRowColHeaders="1" showZeros="1" rightToLeft="0" tabSelected="1" showOutlineSymbols="1" defaultGridColor="1" view="normal" topLeftCell="A1" colorId="64" zoomScale="80" zoomScaleNormal="80" zoomScalePageLayoutView="100" workbookViewId="0">
      <selection pane="topLeft" activeCell="O21" activeCellId="0" sqref="O21"/>
    </sheetView>
  </sheetViews>
  <sheetFormatPr baseColWidth="8" defaultColWidth="9" defaultRowHeight="13.5" customHeight="0" zeroHeight="0" outlineLevelRow="0"/>
  <cols>
    <col width="8.880000000000001" customWidth="1" style="16" min="1" max="1"/>
    <col width="11.11" customWidth="1" style="17" min="2" max="2"/>
    <col width="17.34" customWidth="1" style="18" min="4" max="4"/>
  </cols>
  <sheetData>
    <row r="1" ht="15" customFormat="1" customHeight="1" s="19">
      <c r="A1" s="20" t="inlineStr">
        <is>
          <t>Customer</t>
        </is>
      </c>
      <c r="B1" s="21" t="inlineStr">
        <is>
          <t>Total</t>
        </is>
      </c>
      <c r="C1" s="22" t="inlineStr">
        <is>
          <t>Country</t>
        </is>
      </c>
      <c r="D1" s="23" t="inlineStr">
        <is>
          <t>Output Need</t>
        </is>
      </c>
    </row>
    <row r="2" ht="13.5" customFormat="1" customHeight="1" s="24">
      <c r="A2" s="25" t="n">
        <v>1065414</v>
      </c>
      <c r="B2" s="26" t="n">
        <v>333.33</v>
      </c>
      <c r="C2" s="24" t="inlineStr">
        <is>
          <t>Japan</t>
        </is>
      </c>
      <c r="D2" s="24">
        <f>IF(C2&lt;&gt;"US",C2,INDEX($C$2:$C$27,SUMPRODUCT((($A$2:$A$27=A2)*($C$2:$C$27&lt;&gt;"US")*$B$2:$B$27=SUMPRODUCT(MAX(($A$2:$A$27=A2)*($C$2:$C$27&lt;&gt;"US")*$B$2:$B$27)))*ROW($B$2:$B$27))-1))</f>
        <v/>
      </c>
    </row>
    <row r="3" ht="13.5" customFormat="1" customHeight="1" s="24">
      <c r="A3" s="25" t="inlineStr">
        <is>
          <t>1065414</t>
        </is>
      </c>
      <c r="B3" s="27" t="n">
        <v>-4160</v>
      </c>
      <c r="C3" s="24" t="inlineStr">
        <is>
          <t>Canada</t>
        </is>
      </c>
      <c r="D3" s="24">
        <f>IF(C3&lt;&gt;"US",C3,INDEX($C$2:$C$27,SUMPRODUCT((($A$2:$A$27=A3)*($C$2:$C$27&lt;&gt;"US")*$B$2:$B$27=SUMPRODUCT(MAX(($A$2:$A$27=A3)*($C$2:$C$27&lt;&gt;"US")*$B$2:$B$27)))*ROW($B$2:$B$27))-1))</f>
        <v/>
      </c>
    </row>
    <row r="4" ht="13.5" customFormat="1" customHeight="1" s="24">
      <c r="A4" s="25" t="inlineStr">
        <is>
          <t>1065414</t>
        </is>
      </c>
      <c r="B4" s="28" t="n">
        <v>4160</v>
      </c>
      <c r="C4" s="29" t="inlineStr">
        <is>
          <t>US</t>
        </is>
      </c>
      <c r="D4" s="29">
        <f>IF(C4&lt;&gt;"US",C4,INDEX($C$2:$C$27,SUMPRODUCT((($A$2:$A$27=A4)*($C$2:$C$27&lt;&gt;"US")*$B$2:$B$27=SUMPRODUCT(MAX(($A$2:$A$27=A4)*($C$2:$C$27&lt;&gt;"US")*$B$2:$B$27)))*ROW($B$2:$B$27))-1))</f>
        <v/>
      </c>
      <c r="E4" s="24" t="inlineStr">
        <is>
          <t>Highest amount</t>
        </is>
      </c>
      <c r="G4" s="24" t="inlineStr">
        <is>
          <t>Customer 1065414 has the highest invoice amount in Canada</t>
        </is>
      </c>
    </row>
    <row r="5" ht="13.5" customFormat="1" customHeight="1" s="24">
      <c r="A5" s="25" t="inlineStr">
        <is>
          <t>1065414</t>
        </is>
      </c>
      <c r="B5" s="27" t="n">
        <v>432.84</v>
      </c>
      <c r="C5" s="24" t="inlineStr">
        <is>
          <t>Canada</t>
        </is>
      </c>
      <c r="D5" s="24">
        <f>IF(C5&lt;&gt;"US",C5,INDEX($C$2:$C$27,SUMPRODUCT((($A$2:$A$27=A5)*($C$2:$C$27&lt;&gt;"US")*$B$2:$B$27=SUMPRODUCT(MAX(($A$2:$A$27=A5)*($C$2:$C$27&lt;&gt;"US")*$B$2:$B$27)))*ROW($B$2:$B$27))-1))</f>
        <v/>
      </c>
    </row>
    <row r="6" ht="13.5" customFormat="1" customHeight="1" s="24">
      <c r="A6" s="25" t="inlineStr">
        <is>
          <t>1065414</t>
        </is>
      </c>
      <c r="B6" s="27" t="n">
        <v>4995</v>
      </c>
      <c r="C6" s="24" t="inlineStr">
        <is>
          <t>Canada</t>
        </is>
      </c>
      <c r="D6" s="24">
        <f>IF(C6&lt;&gt;"US",C6,INDEX($C$2:$C$27,SUMPRODUCT((($A$2:$A$27=A6)*($C$2:$C$27&lt;&gt;"US")*$B$2:$B$27=SUMPRODUCT(MAX(($A$2:$A$27=A6)*($C$2:$C$27&lt;&gt;"US")*$B$2:$B$27)))*ROW($B$2:$B$27))-1))</f>
        <v/>
      </c>
    </row>
    <row r="7" ht="13.5" customFormat="1" customHeight="1" s="24">
      <c r="A7" s="25" t="n">
        <v>1001130</v>
      </c>
      <c r="B7" s="30" t="n">
        <v>141500</v>
      </c>
      <c r="C7" s="24" t="inlineStr">
        <is>
          <t>Japan</t>
        </is>
      </c>
      <c r="D7" s="24">
        <f>IF(C7&lt;&gt;"US",C7,INDEX($C$2:$C$27,SUMPRODUCT((($A$2:$A$27=A7)*($C$2:$C$27&lt;&gt;"US")*$B$2:$B$27=SUMPRODUCT(MAX(($A$2:$A$27=A7)*($C$2:$C$27&lt;&gt;"US")*$B$2:$B$27)))*ROW($B$2:$B$27))-1))</f>
        <v/>
      </c>
    </row>
    <row r="8" ht="13.5" customHeight="1" s="31">
      <c r="A8" s="16" t="n">
        <v>1001130</v>
      </c>
      <c r="B8" s="17" t="n">
        <v>1122</v>
      </c>
      <c r="C8" s="24" t="inlineStr">
        <is>
          <t>Canada</t>
        </is>
      </c>
      <c r="D8" s="24">
        <f>IF(C8&lt;&gt;"US",C8,INDEX($C$2:$C$27,SUMPRODUCT((($A$2:$A$27=A8)*($C$2:$C$27&lt;&gt;"US")*$B$2:$B$27=SUMPRODUCT(MAX(($A$2:$A$27=A8)*($C$2:$C$27&lt;&gt;"US")*$B$2:$B$27)))*ROW($B$2:$B$27))-1))</f>
        <v/>
      </c>
    </row>
    <row r="9" ht="13.5" customHeight="1" s="31">
      <c r="A9" s="16" t="n">
        <v>1001130</v>
      </c>
      <c r="B9" s="17" t="n">
        <v>95600</v>
      </c>
      <c r="C9" s="29" t="inlineStr">
        <is>
          <t>US</t>
        </is>
      </c>
      <c r="D9" s="29">
        <f>IF(C9&lt;&gt;"US",C9,INDEX($C$2:$C$27,SUMPRODUCT((($A$2:$A$27=A9)*($C$2:$C$27&lt;&gt;"US")*$B$2:$B$27=SUMPRODUCT(MAX(($A$2:$A$27=A9)*($C$2:$C$27&lt;&gt;"US")*$B$2:$B$27)))*ROW($B$2:$B$27))-1))</f>
        <v/>
      </c>
      <c r="E9" s="24" t="inlineStr">
        <is>
          <t>Highest amount</t>
        </is>
      </c>
      <c r="G9" s="24" t="inlineStr">
        <is>
          <t>Customer 1001130 has the highest invoice amount in Japan</t>
        </is>
      </c>
    </row>
    <row r="10" ht="13.5" customHeight="1" s="31">
      <c r="A10" s="16" t="n">
        <v>1001130</v>
      </c>
      <c r="B10" s="17" t="n">
        <v>18570</v>
      </c>
      <c r="C10" s="24" t="inlineStr">
        <is>
          <t>Canada</t>
        </is>
      </c>
      <c r="D10" s="24">
        <f>IF(C10&lt;&gt;"US",C10,INDEX($C$2:$C$27,SUMPRODUCT((($A$2:$A$27=A10)*($C$2:$C$27&lt;&gt;"US")*$B$2:$B$27=SUMPRODUCT(MAX(($A$2:$A$27=A10)*($C$2:$C$27&lt;&gt;"US")*$B$2:$B$27)))*ROW($B$2:$B$27))-1))</f>
        <v/>
      </c>
    </row>
    <row r="11" ht="13.5" customHeight="1" s="31">
      <c r="A11" s="16" t="n">
        <v>1001130</v>
      </c>
      <c r="B11" s="17" t="n">
        <v>4748</v>
      </c>
      <c r="C11" s="24" t="inlineStr">
        <is>
          <t>Canada</t>
        </is>
      </c>
      <c r="D11" s="24">
        <f>IF(C11&lt;&gt;"US",C11,INDEX($C$2:$C$27,SUMPRODUCT((($A$2:$A$27=A11)*($C$2:$C$27&lt;&gt;"US")*$B$2:$B$27=SUMPRODUCT(MAX(($A$2:$A$27=A11)*($C$2:$C$27&lt;&gt;"US")*$B$2:$B$27)))*ROW($B$2:$B$27))-1))</f>
        <v/>
      </c>
    </row>
    <row r="12" ht="13.5" customHeight="1" s="31">
      <c r="A12" s="16" t="n">
        <v>1001130</v>
      </c>
      <c r="B12" s="17" t="n">
        <v>71236</v>
      </c>
      <c r="C12" s="29" t="inlineStr">
        <is>
          <t>US</t>
        </is>
      </c>
      <c r="D12" s="29">
        <f>IF(C12&lt;&gt;"US",C12,INDEX($C$2:$C$27,SUMPRODUCT((($A$2:$A$27=A12)*($C$2:$C$27&lt;&gt;"US")*$B$2:$B$27=SUMPRODUCT(MAX(($A$2:$A$27=A12)*($C$2:$C$27&lt;&gt;"US")*$B$2:$B$27)))*ROW($B$2:$B$27))-1))</f>
        <v/>
      </c>
      <c r="E12" s="24" t="inlineStr">
        <is>
          <t>Highest amount</t>
        </is>
      </c>
    </row>
    <row r="13" ht="13.5" customHeight="1" s="31">
      <c r="A13" s="16" t="n">
        <v>1001130</v>
      </c>
      <c r="B13" s="28" t="n">
        <v>31450</v>
      </c>
      <c r="C13" s="29" t="inlineStr">
        <is>
          <t>US</t>
        </is>
      </c>
      <c r="D13" s="29">
        <f>IF(C13&lt;&gt;"US",C13,INDEX($C$2:$C$27,SUMPRODUCT((($A$2:$A$27=A13)*($C$2:$C$27&lt;&gt;"US")*$B$2:$B$27=SUMPRODUCT(MAX(($A$2:$A$27=A13)*($C$2:$C$27&lt;&gt;"US")*$B$2:$B$27)))*ROW($B$2:$B$27))-1))</f>
        <v/>
      </c>
      <c r="E13" s="24" t="inlineStr">
        <is>
          <t>Highest amount</t>
        </is>
      </c>
    </row>
    <row r="14" ht="13.5" customHeight="1" s="31">
      <c r="A14" s="16" t="n">
        <v>1019559</v>
      </c>
      <c r="B14" s="26" t="n">
        <v>1494</v>
      </c>
      <c r="C14" s="24" t="inlineStr">
        <is>
          <t>Canada</t>
        </is>
      </c>
      <c r="D14" s="24">
        <f>IF(C14&lt;&gt;"US",C14,INDEX($C$2:$C$27,SUMPRODUCT((($A$2:$A$27=A14)*($C$2:$C$27&lt;&gt;"US")*$B$2:$B$27=SUMPRODUCT(MAX(($A$2:$A$27=A14)*($C$2:$C$27&lt;&gt;"US")*$B$2:$B$27)))*ROW($B$2:$B$27))-1))</f>
        <v/>
      </c>
    </row>
    <row r="15" ht="13.5" customHeight="1" s="31">
      <c r="A15" s="16" t="n">
        <v>1019559</v>
      </c>
      <c r="B15" s="26" t="n">
        <v>5398</v>
      </c>
      <c r="C15" s="24" t="inlineStr">
        <is>
          <t>Canada</t>
        </is>
      </c>
      <c r="D15" s="24">
        <f>IF(C15&lt;&gt;"US",C15,INDEX($C$2:$C$27,SUMPRODUCT((($A$2:$A$27=A15)*($C$2:$C$27&lt;&gt;"US")*$B$2:$B$27=SUMPRODUCT(MAX(($A$2:$A$27=A15)*($C$2:$C$27&lt;&gt;"US")*$B$2:$B$27)))*ROW($B$2:$B$27))-1))</f>
        <v/>
      </c>
    </row>
    <row r="16" ht="13.5" customHeight="1" s="31">
      <c r="A16" s="16" t="n">
        <v>1019559</v>
      </c>
      <c r="B16" s="26" t="n">
        <v>34100</v>
      </c>
      <c r="C16" s="29" t="inlineStr">
        <is>
          <t>US</t>
        </is>
      </c>
      <c r="D16" s="29">
        <f>IF(C16&lt;&gt;"US",C16,INDEX($C$2:$C$27,SUMPRODUCT((($A$2:$A$27=A16)*($C$2:$C$27&lt;&gt;"US")*$B$2:$B$27=SUMPRODUCT(MAX(($A$2:$A$27=A16)*($C$2:$C$27&lt;&gt;"US")*$B$2:$B$27)))*ROW($B$2:$B$27))-1))</f>
        <v/>
      </c>
      <c r="E16" s="24" t="inlineStr">
        <is>
          <t>Highest amount</t>
        </is>
      </c>
    </row>
    <row r="17" ht="13.5" customHeight="1" s="31">
      <c r="A17" s="16" t="n">
        <v>1019559</v>
      </c>
      <c r="B17" s="26" t="n">
        <v>43485</v>
      </c>
      <c r="C17" s="24" t="inlineStr">
        <is>
          <t>Japan</t>
        </is>
      </c>
      <c r="D17" s="24">
        <f>IF(C17&lt;&gt;"US",C17,INDEX($C$2:$C$27,SUMPRODUCT((($A$2:$A$27=A17)*($C$2:$C$27&lt;&gt;"US")*$B$2:$B$27=SUMPRODUCT(MAX(($A$2:$A$27=A17)*($C$2:$C$27&lt;&gt;"US")*$B$2:$B$27)))*ROW($B$2:$B$27))-1))</f>
        <v/>
      </c>
    </row>
    <row r="18" ht="13.5" customHeight="1" s="31">
      <c r="A18" s="16" t="n">
        <v>1019559</v>
      </c>
      <c r="B18" s="26" t="n">
        <v>6250</v>
      </c>
      <c r="C18" s="24" t="inlineStr">
        <is>
          <t>Canada</t>
        </is>
      </c>
      <c r="D18" s="24">
        <f>IF(C18&lt;&gt;"US",C18,INDEX($C$2:$C$27,SUMPRODUCT((($A$2:$A$27=A18)*($C$2:$C$27&lt;&gt;"US")*$B$2:$B$27=SUMPRODUCT(MAX(($A$2:$A$27=A18)*($C$2:$C$27&lt;&gt;"US")*$B$2:$B$27)))*ROW($B$2:$B$27))-1))</f>
        <v/>
      </c>
    </row>
    <row r="19" ht="13.5" customHeight="1" s="31">
      <c r="A19" s="16" t="n">
        <v>1019559</v>
      </c>
      <c r="B19" s="26" t="n">
        <v>47260</v>
      </c>
      <c r="C19" s="29" t="inlineStr">
        <is>
          <t>US</t>
        </is>
      </c>
      <c r="D19" s="29">
        <f>IF(C19&lt;&gt;"US",C19,INDEX($C$2:$C$27,SUMPRODUCT((($A$2:$A$27=A19)*($C$2:$C$27&lt;&gt;"US")*$B$2:$B$27=SUMPRODUCT(MAX(($A$2:$A$27=A19)*($C$2:$C$27&lt;&gt;"US")*$B$2:$B$27)))*ROW($B$2:$B$27))-1))</f>
        <v/>
      </c>
      <c r="E19" s="24" t="inlineStr">
        <is>
          <t>Highest amount</t>
        </is>
      </c>
    </row>
    <row r="20" ht="13.5" customHeight="1" s="31">
      <c r="A20" s="16" t="n">
        <v>1029551</v>
      </c>
      <c r="B20" s="26" t="n">
        <v>11227</v>
      </c>
      <c r="C20" s="24" t="inlineStr">
        <is>
          <t>Canada</t>
        </is>
      </c>
      <c r="D20" s="18">
        <f>IF(C20&lt;&gt;"US",C20,INDEX($C$2:$C$27,SUMPRODUCT((($A$2:$A$27=A20)*($C$2:$C$27&lt;&gt;"US")*$B$2:$B$27=SUMPRODUCT(MAX(($A$2:$A$27=A20)*($C$2:$C$27&lt;&gt;"US")*$B$2:$B$27)))*ROW($B$2:$B$27))-1))</f>
        <v/>
      </c>
    </row>
    <row r="21" ht="13.5" customHeight="1" s="31">
      <c r="A21" s="16" t="n">
        <v>1029551</v>
      </c>
      <c r="B21" s="26" t="n">
        <v>45450</v>
      </c>
      <c r="C21" s="24" t="inlineStr">
        <is>
          <t>Canada</t>
        </is>
      </c>
      <c r="D21" s="18">
        <f>IF(C21&lt;&gt;"US",C21,INDEX($C$2:$C$27,SUMPRODUCT((($A$2:$A$27=A21)*($C$2:$C$27&lt;&gt;"US")*$B$2:$B$27=SUMPRODUCT(MAX(($A$2:$A$27=A21)*($C$2:$C$27&lt;&gt;"US")*$B$2:$B$27)))*ROW($B$2:$B$27))-1))</f>
        <v/>
      </c>
    </row>
    <row r="22" ht="13.5" customHeight="1" s="31">
      <c r="A22" s="16" t="n">
        <v>1029551</v>
      </c>
      <c r="B22" s="26" t="n">
        <v>275000</v>
      </c>
      <c r="C22" s="29" t="inlineStr">
        <is>
          <t>US</t>
        </is>
      </c>
      <c r="D22" s="32">
        <f>IF(C22&lt;&gt;"US",C22,INDEX($C$2:$C$27,SUMPRODUCT((($A$2:$A$27=A22)*($C$2:$C$27&lt;&gt;"US")*$B$2:$B$27=SUMPRODUCT(MAX(($A$2:$A$27=A22)*($C$2:$C$27&lt;&gt;"US")*$B$2:$B$27)))*ROW($B$2:$B$27))-1))</f>
        <v/>
      </c>
      <c r="E22" s="24" t="inlineStr">
        <is>
          <t>Highest amount</t>
        </is>
      </c>
    </row>
    <row r="23" ht="13.5" customHeight="1" s="31">
      <c r="A23" s="16" t="n">
        <v>1029551</v>
      </c>
      <c r="B23" s="26" t="n">
        <v>27900</v>
      </c>
      <c r="C23" s="24" t="inlineStr">
        <is>
          <t>Japan</t>
        </is>
      </c>
      <c r="D23" s="18">
        <f>IF(C23&lt;&gt;"US",C23,INDEX($C$2:$C$27,SUMPRODUCT((($A$2:$A$27=A23)*($C$2:$C$27&lt;&gt;"US")*$B$2:$B$27=SUMPRODUCT(MAX(($A$2:$A$27=A23)*($C$2:$C$27&lt;&gt;"US")*$B$2:$B$27)))*ROW($B$2:$B$27))-1))</f>
        <v/>
      </c>
    </row>
    <row r="24" ht="13.5" customHeight="1" s="31">
      <c r="A24" s="16" t="n">
        <v>1029551</v>
      </c>
      <c r="B24" s="26" t="n">
        <v>10500</v>
      </c>
      <c r="C24" s="24" t="inlineStr">
        <is>
          <t>Canada</t>
        </is>
      </c>
      <c r="D24" s="18">
        <f>IF(C24&lt;&gt;"US",C24,INDEX($C$2:$C$27,SUMPRODUCT((($A$2:$A$27=A24)*($C$2:$C$27&lt;&gt;"US")*$B$2:$B$27=SUMPRODUCT(MAX(($A$2:$A$27=A24)*($C$2:$C$27&lt;&gt;"US")*$B$2:$B$27)))*ROW($B$2:$B$27))-1))</f>
        <v/>
      </c>
    </row>
    <row r="25" ht="13.5" customHeight="1" s="31">
      <c r="A25" s="16" t="n">
        <v>1029551</v>
      </c>
      <c r="B25" s="26" t="n">
        <v>21845</v>
      </c>
      <c r="C25" s="29" t="inlineStr">
        <is>
          <t>US</t>
        </is>
      </c>
      <c r="D25" s="32">
        <f>IF(C25&lt;&gt;"US",C25,INDEX($C$2:$C$27,SUMPRODUCT((($A$2:$A$27=A25)*($C$2:$C$27&lt;&gt;"US")*$B$2:$B$27=SUMPRODUCT(MAX(($A$2:$A$27=A25)*($C$2:$C$27&lt;&gt;"US")*$B$2:$B$27)))*ROW($B$2:$B$27))-1))</f>
        <v/>
      </c>
      <c r="E25" s="24" t="inlineStr">
        <is>
          <t>Highest amount</t>
        </is>
      </c>
    </row>
    <row r="26" ht="13.5" customHeight="1" s="31">
      <c r="A26" s="16" t="n">
        <v>1029551</v>
      </c>
      <c r="B26" s="26" t="n">
        <v>11888</v>
      </c>
      <c r="C26" s="24" t="inlineStr">
        <is>
          <t>China</t>
        </is>
      </c>
      <c r="D26" s="18">
        <f>IF(C26&lt;&gt;"US",C26,INDEX($C$2:$C$27,SUMPRODUCT((($A$2:$A$27=A26)*($C$2:$C$27&lt;&gt;"US")*$B$2:$B$27=SUMPRODUCT(MAX(($A$2:$A$27=A26)*($C$2:$C$27&lt;&gt;"US")*$B$2:$B$27)))*ROW($B$2:$B$27))-1))</f>
        <v/>
      </c>
    </row>
    <row r="27" ht="13.5" customHeight="1" s="31">
      <c r="A27" s="16" t="n">
        <v>1029551</v>
      </c>
      <c r="B27" s="17" t="n">
        <v>160195</v>
      </c>
      <c r="C27" s="24" t="inlineStr">
        <is>
          <t>China</t>
        </is>
      </c>
      <c r="D27" s="18">
        <f>IF(C27&lt;&gt;"US",C27,INDEX($C$2:$C$27,SUMPRODUCT((($A$2:$A$27=A27)*($C$2:$C$27&lt;&gt;"US")*$B$2:$B$27=SUMPRODUCT(MAX(($A$2:$A$27=A27)*($C$2:$C$27&lt;&gt;"US")*$B$2:$B$27)))*ROW($B$2:$B$27))-1))</f>
        <v/>
      </c>
    </row>
  </sheetData>
  <autoFilter ref="A1:AY27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Jackson</dc:creator>
  <dc:language xmlns:dc="http://purl.org/dc/elements/1.1/">en-US</dc:language>
  <dcterms:created xmlns:dcterms="http://purl.org/dc/terms/" xmlns:xsi="http://www.w3.org/2001/XMLSchema-instance" xsi:type="dcterms:W3CDTF">2021-06-25T18:30:00Z</dcterms:created>
  <dcterms:modified xmlns:dcterms="http://purl.org/dc/terms/" xmlns:xsi="http://www.w3.org/2001/XMLSchema-instance" xsi:type="dcterms:W3CDTF">2026-09-05T18:07:09Z</dcterms:modified>
  <cp:lastModifiedBy>一世相儒以沫</cp:lastModifiedBy>
  <cp:revision>0</cp:revision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580473C1A311401594BF07CAA86288DD_12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